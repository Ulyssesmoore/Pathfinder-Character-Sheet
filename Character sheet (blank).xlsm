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lyssesmoore\Desktop\"/>
    </mc:Choice>
  </mc:AlternateContent>
  <xr:revisionPtr revIDLastSave="0" documentId="13_ncr:1_{AAD6D5FE-7F4D-45AF-834B-4970E550E381}" xr6:coauthVersionLast="33" xr6:coauthVersionMax="33" xr10:uidLastSave="{00000000-0000-0000-0000-000000000000}"/>
  <bookViews>
    <workbookView xWindow="0" yWindow="0" windowWidth="21570" windowHeight="7980" activeTab="5" xr2:uid="{00000000-000D-0000-FFFF-FFFF00000000}"/>
  </bookViews>
  <sheets>
    <sheet name="Sheet" sheetId="1" r:id="rId1"/>
    <sheet name="Gear" sheetId="5" r:id="rId2"/>
    <sheet name="Feats&amp;Traits" sheetId="6" r:id="rId3"/>
    <sheet name="Growth" sheetId="3" r:id="rId4"/>
    <sheet name="Fibonacci89" sheetId="2" r:id="rId5"/>
    <sheet name="AC" sheetId="4" r:id="rId6"/>
  </sheets>
  <functionGroups builtInGroupCount="19"/>
  <externalReferences>
    <externalReference r:id="rId7"/>
  </externalReferences>
  <definedNames>
    <definedName name="ClassSkills">Sheet!$M$17:$M$94</definedName>
    <definedName name="SkillNames">Sheet!$N$17:$O$94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7" i="1" l="1"/>
  <c r="C11" i="1" l="1"/>
  <c r="C27" i="1"/>
  <c r="D19" i="1"/>
  <c r="D23" i="1"/>
  <c r="D27" i="1"/>
  <c r="D15" i="1"/>
  <c r="D31" i="1"/>
  <c r="D11" i="1"/>
  <c r="I53" i="1" l="1"/>
  <c r="I49" i="1"/>
  <c r="I45" i="1"/>
  <c r="K112" i="1" l="1"/>
  <c r="D27" i="5" l="1"/>
  <c r="D28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7" i="5"/>
  <c r="BE2" i="6"/>
  <c r="K11" i="1" s="1"/>
  <c r="AD2" i="6"/>
  <c r="Y47" i="1" s="1"/>
  <c r="E2" i="6"/>
  <c r="C23" i="1" s="1"/>
  <c r="AK2" i="6"/>
  <c r="Y61" i="1" s="1"/>
  <c r="AL2" i="6"/>
  <c r="Y63" i="1" s="1"/>
  <c r="AS2" i="6"/>
  <c r="Y77" i="1" s="1"/>
  <c r="F2" i="6"/>
  <c r="C2" i="6"/>
  <c r="C15" i="1" s="1"/>
  <c r="D2" i="6"/>
  <c r="C19" i="1" s="1"/>
  <c r="G6" i="2"/>
  <c r="G2" i="6"/>
  <c r="C31" i="1"/>
  <c r="H7" i="2" s="1"/>
  <c r="H2" i="6"/>
  <c r="K36" i="1" s="1"/>
  <c r="I2" i="6"/>
  <c r="J2" i="6"/>
  <c r="K2" i="6"/>
  <c r="L2" i="6"/>
  <c r="M2" i="6"/>
  <c r="N2" i="6"/>
  <c r="P2" i="6"/>
  <c r="Y19" i="1" s="1"/>
  <c r="Q2" i="6"/>
  <c r="Y21" i="1" s="1"/>
  <c r="S2" i="6"/>
  <c r="Y25" i="1" s="1"/>
  <c r="T2" i="6"/>
  <c r="Y27" i="1" s="1"/>
  <c r="U2" i="6"/>
  <c r="Y29" i="1" s="1"/>
  <c r="V2" i="6"/>
  <c r="Y31" i="1" s="1"/>
  <c r="X2" i="6"/>
  <c r="Y35" i="1" s="1"/>
  <c r="AA2" i="6"/>
  <c r="Y41" i="1" s="1"/>
  <c r="AB2" i="6"/>
  <c r="Y43" i="1" s="1"/>
  <c r="AE2" i="6"/>
  <c r="Y49" i="1" s="1"/>
  <c r="AF2" i="6"/>
  <c r="Y51" i="1" s="1"/>
  <c r="AG2" i="6"/>
  <c r="Y53" i="1" s="1"/>
  <c r="AH2" i="6"/>
  <c r="Y55" i="1" s="1"/>
  <c r="AI2" i="6"/>
  <c r="Y57" i="1" s="1"/>
  <c r="AJ2" i="6"/>
  <c r="Y59" i="1" s="1"/>
  <c r="AM2" i="6"/>
  <c r="Y65" i="1" s="1"/>
  <c r="AN2" i="6"/>
  <c r="Y67" i="1" s="1"/>
  <c r="AO2" i="6"/>
  <c r="Y69" i="1" s="1"/>
  <c r="AP2" i="6"/>
  <c r="Y71" i="1" s="1"/>
  <c r="AQ2" i="6"/>
  <c r="Y73" i="1" s="1"/>
  <c r="AR2" i="6"/>
  <c r="Y75" i="1" s="1"/>
  <c r="AW2" i="6"/>
  <c r="Y85" i="1" s="1"/>
  <c r="BA2" i="6"/>
  <c r="Y93" i="1" s="1"/>
  <c r="BB2" i="6"/>
  <c r="I36" i="1" s="1"/>
  <c r="BC2" i="6"/>
  <c r="J36" i="1" s="1"/>
  <c r="BD2" i="6"/>
  <c r="K15" i="1" s="1"/>
  <c r="B2" i="6"/>
  <c r="A2" i="5"/>
  <c r="A6" i="5"/>
  <c r="A5" i="5"/>
  <c r="A4" i="5"/>
  <c r="A3" i="5"/>
  <c r="B3" i="5"/>
  <c r="D3" i="5" s="1"/>
  <c r="B5" i="5"/>
  <c r="D5" i="5" s="1"/>
  <c r="F49" i="1"/>
  <c r="R40" i="2"/>
  <c r="S40" i="2" s="1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P38" i="2"/>
  <c r="Q38" i="2" s="1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N32" i="2"/>
  <c r="N42" i="2" s="1"/>
  <c r="O42" i="2" s="1"/>
  <c r="O32" i="2"/>
  <c r="N35" i="2"/>
  <c r="O35" i="2"/>
  <c r="N36" i="2"/>
  <c r="O36" i="2"/>
  <c r="N38" i="2"/>
  <c r="O38" i="2"/>
  <c r="N40" i="2"/>
  <c r="O40" i="2"/>
  <c r="N41" i="2"/>
  <c r="O41" i="2"/>
  <c r="O3" i="2"/>
  <c r="R33" i="2"/>
  <c r="S33" i="2" s="1"/>
  <c r="R34" i="2"/>
  <c r="S34" i="2"/>
  <c r="R35" i="2"/>
  <c r="S35" i="2" s="1"/>
  <c r="R36" i="2"/>
  <c r="S36" i="2"/>
  <c r="R37" i="2"/>
  <c r="S37" i="2" s="1"/>
  <c r="R38" i="2"/>
  <c r="S38" i="2"/>
  <c r="R39" i="2"/>
  <c r="S39" i="2" s="1"/>
  <c r="R41" i="2"/>
  <c r="S41" i="2"/>
  <c r="R32" i="2"/>
  <c r="R42" i="2" s="1"/>
  <c r="S42" i="2" s="1"/>
  <c r="P33" i="2"/>
  <c r="Q33" i="2"/>
  <c r="P34" i="2"/>
  <c r="Q34" i="2"/>
  <c r="P35" i="2"/>
  <c r="Q35" i="2"/>
  <c r="P36" i="2"/>
  <c r="Q36" i="2"/>
  <c r="P37" i="2"/>
  <c r="Q37" i="2"/>
  <c r="P39" i="2"/>
  <c r="Q39" i="2"/>
  <c r="P40" i="2"/>
  <c r="Q40" i="2"/>
  <c r="P41" i="2"/>
  <c r="Q41" i="2"/>
  <c r="P32" i="2"/>
  <c r="P42" i="2" s="1"/>
  <c r="Q42" i="2" s="1"/>
  <c r="Q32" i="2"/>
  <c r="N34" i="2"/>
  <c r="O34" i="2"/>
  <c r="N37" i="2"/>
  <c r="O37" i="2"/>
  <c r="N39" i="2"/>
  <c r="O39" i="2"/>
  <c r="N33" i="2"/>
  <c r="O33" i="2"/>
  <c r="AY2" i="6"/>
  <c r="Y89" i="1" s="1"/>
  <c r="AU2" i="6"/>
  <c r="Y81" i="1" s="1"/>
  <c r="AC2" i="6"/>
  <c r="Y45" i="1" s="1"/>
  <c r="S32" i="2"/>
  <c r="J11" i="2"/>
  <c r="J13" i="2"/>
  <c r="J119" i="1"/>
  <c r="J121" i="1"/>
  <c r="J123" i="1"/>
  <c r="J125" i="1"/>
  <c r="J117" i="1"/>
  <c r="I125" i="1"/>
  <c r="I123" i="1"/>
  <c r="I121" i="1"/>
  <c r="I119" i="1"/>
  <c r="I117" i="1"/>
  <c r="H125" i="1"/>
  <c r="H123" i="1"/>
  <c r="H121" i="1"/>
  <c r="H119" i="1"/>
  <c r="H117" i="1"/>
  <c r="G125" i="1"/>
  <c r="G123" i="1"/>
  <c r="G121" i="1"/>
  <c r="G119" i="1"/>
  <c r="G117" i="1"/>
  <c r="F125" i="1"/>
  <c r="F123" i="1"/>
  <c r="F121" i="1"/>
  <c r="J14" i="2" s="1"/>
  <c r="F119" i="1"/>
  <c r="J12" i="2" s="1"/>
  <c r="F117" i="1"/>
  <c r="J10" i="2" s="1"/>
  <c r="K119" i="1"/>
  <c r="B4" i="5" s="1"/>
  <c r="D4" i="5" s="1"/>
  <c r="K121" i="1"/>
  <c r="B6" i="5"/>
  <c r="D6" i="5" s="1"/>
  <c r="K123" i="1"/>
  <c r="K125" i="1"/>
  <c r="K117" i="1"/>
  <c r="B2" i="5" s="1"/>
  <c r="D2" i="5" s="1"/>
  <c r="G23" i="2"/>
  <c r="G21" i="2"/>
  <c r="P8" i="1"/>
  <c r="P5" i="1"/>
  <c r="K104" i="1"/>
  <c r="K96" i="1"/>
  <c r="F7" i="2"/>
  <c r="F6" i="2"/>
  <c r="F5" i="2"/>
  <c r="F4" i="2"/>
  <c r="F3" i="2"/>
  <c r="F2" i="2"/>
  <c r="H93" i="1" s="1"/>
  <c r="H36" i="1"/>
  <c r="G62" i="1" s="1"/>
  <c r="H101" i="1"/>
  <c r="K80" i="1"/>
  <c r="K88" i="1"/>
  <c r="H85" i="1"/>
  <c r="H77" i="1" l="1"/>
  <c r="H109" i="1"/>
  <c r="O120" i="1"/>
  <c r="O118" i="1"/>
  <c r="A28" i="2" s="1"/>
  <c r="O116" i="1"/>
  <c r="H68" i="1"/>
  <c r="J127" i="1"/>
  <c r="J16" i="2"/>
  <c r="F36" i="1" s="1"/>
  <c r="E36" i="1" s="1"/>
  <c r="I127" i="1"/>
  <c r="H127" i="1"/>
  <c r="E31" i="2" s="1"/>
  <c r="G7" i="2"/>
  <c r="B32" i="2"/>
  <c r="K127" i="1"/>
  <c r="F58" i="1"/>
  <c r="E68" i="1"/>
  <c r="R127" i="1"/>
  <c r="F53" i="1"/>
  <c r="E62" i="1"/>
  <c r="F45" i="1"/>
  <c r="G53" i="1"/>
  <c r="U93" i="1"/>
  <c r="Q93" i="1" s="1"/>
  <c r="U71" i="1"/>
  <c r="Q71" i="1" s="1"/>
  <c r="G4" i="2"/>
  <c r="G45" i="1"/>
  <c r="U35" i="1"/>
  <c r="Q35" i="1" s="1"/>
  <c r="U41" i="1"/>
  <c r="Q41" i="1" s="1"/>
  <c r="I7" i="2"/>
  <c r="U73" i="1"/>
  <c r="Q73" i="1" s="1"/>
  <c r="H5" i="2"/>
  <c r="G5" i="2"/>
  <c r="G3" i="2"/>
  <c r="A27" i="2"/>
  <c r="G2" i="2"/>
  <c r="G36" i="1" l="1"/>
  <c r="K31" i="1" s="1"/>
  <c r="H6" i="2"/>
  <c r="U31" i="1" s="1"/>
  <c r="Q31" i="1" s="1"/>
  <c r="E53" i="1"/>
  <c r="E45" i="1"/>
  <c r="H4" i="2"/>
  <c r="I4" i="2" s="1"/>
  <c r="U43" i="1"/>
  <c r="Q43" i="1" s="1"/>
  <c r="U21" i="1"/>
  <c r="Q21" i="1" s="1"/>
  <c r="U27" i="1"/>
  <c r="Q27" i="1" s="1"/>
  <c r="U55" i="1"/>
  <c r="Q55" i="1" s="1"/>
  <c r="U57" i="1"/>
  <c r="Q57" i="1" s="1"/>
  <c r="U29" i="1"/>
  <c r="Q29" i="1" s="1"/>
  <c r="U53" i="1"/>
  <c r="Q53" i="1" s="1"/>
  <c r="U25" i="1"/>
  <c r="Q25" i="1" s="1"/>
  <c r="U63" i="1"/>
  <c r="Q63" i="1" s="1"/>
  <c r="I5" i="2"/>
  <c r="U65" i="1"/>
  <c r="Q65" i="1" s="1"/>
  <c r="U67" i="1"/>
  <c r="Q67" i="1" s="1"/>
  <c r="U49" i="1"/>
  <c r="Q49" i="1" s="1"/>
  <c r="U51" i="1"/>
  <c r="Q51" i="1" s="1"/>
  <c r="U59" i="1"/>
  <c r="Q59" i="1" s="1"/>
  <c r="U19" i="1"/>
  <c r="Q19" i="1" s="1"/>
  <c r="U47" i="1"/>
  <c r="Q47" i="1" s="1"/>
  <c r="U85" i="1"/>
  <c r="Q85" i="1" s="1"/>
  <c r="U61" i="1"/>
  <c r="Q61" i="1" s="1"/>
  <c r="B35" i="2"/>
  <c r="G68" i="1"/>
  <c r="G49" i="1"/>
  <c r="E49" i="1" s="1"/>
  <c r="H3" i="2"/>
  <c r="J15" i="1"/>
  <c r="I15" i="1" s="1"/>
  <c r="O126" i="1"/>
  <c r="O122" i="1"/>
  <c r="O124" i="1" s="1"/>
  <c r="A29" i="2"/>
  <c r="F62" i="1"/>
  <c r="C62" i="1" s="1"/>
  <c r="F68" i="1"/>
  <c r="C68" i="1" s="1"/>
  <c r="H2" i="2"/>
  <c r="D29" i="5"/>
  <c r="F2" i="5" s="1"/>
  <c r="E36" i="2" s="1"/>
  <c r="C30" i="2" s="1"/>
  <c r="U89" i="1" l="1"/>
  <c r="Q89" i="1" s="1"/>
  <c r="U75" i="1"/>
  <c r="Q75" i="1" s="1"/>
  <c r="I6" i="2"/>
  <c r="U77" i="1"/>
  <c r="Q77" i="1" s="1"/>
  <c r="U45" i="1"/>
  <c r="Q45" i="1" s="1"/>
  <c r="U81" i="1"/>
  <c r="Q81" i="1" s="1"/>
  <c r="U69" i="1"/>
  <c r="Q69" i="1" s="1"/>
  <c r="C36" i="1"/>
  <c r="K27" i="1"/>
  <c r="U37" i="1"/>
  <c r="U79" i="1"/>
  <c r="U87" i="1"/>
  <c r="U83" i="1"/>
  <c r="U33" i="1"/>
  <c r="U17" i="1"/>
  <c r="U39" i="1"/>
  <c r="I3" i="2"/>
  <c r="U23" i="1"/>
  <c r="I2" i="2"/>
  <c r="U91" i="1"/>
  <c r="F11" i="2"/>
  <c r="G11" i="2"/>
  <c r="Q112" i="1"/>
  <c r="T112" i="1"/>
  <c r="F31" i="2" s="1"/>
  <c r="F32" i="2" s="1"/>
  <c r="C35" i="2" s="1"/>
  <c r="C36" i="2" s="1"/>
  <c r="W112" i="1"/>
  <c r="S112" i="1"/>
  <c r="C32" i="2" s="1"/>
  <c r="C33" i="2" s="1"/>
  <c r="Y3" i="6" l="1"/>
  <c r="Y2" i="6" s="1"/>
  <c r="AX3" i="6"/>
  <c r="AX2" i="6" s="1"/>
  <c r="AT3" i="6"/>
  <c r="AT2" i="6" s="1"/>
  <c r="O3" i="6"/>
  <c r="O2" i="6" s="1"/>
  <c r="AV3" i="6"/>
  <c r="AV2" i="6" s="1"/>
  <c r="Z3" i="6"/>
  <c r="Z2" i="6" s="1"/>
  <c r="W3" i="6"/>
  <c r="W2" i="6" s="1"/>
  <c r="R3" i="6"/>
  <c r="R2" i="6" s="1"/>
  <c r="AZ3" i="6"/>
  <c r="AZ2" i="6" s="1"/>
  <c r="Y39" i="1" l="1"/>
  <c r="Q39" i="1" s="1"/>
  <c r="Y23" i="1"/>
  <c r="Q23" i="1" s="1"/>
  <c r="Q17" i="1"/>
  <c r="Y79" i="1"/>
  <c r="Q79" i="1" s="1"/>
  <c r="Y33" i="1"/>
  <c r="Q33" i="1" s="1"/>
  <c r="Y83" i="1"/>
  <c r="Q83" i="1" s="1"/>
  <c r="Y87" i="1"/>
  <c r="Q87" i="1" s="1"/>
  <c r="Y91" i="1"/>
  <c r="Q91" i="1" s="1"/>
  <c r="Y37" i="1"/>
  <c r="Q37" i="1" s="1"/>
</calcChain>
</file>

<file path=xl/sharedStrings.xml><?xml version="1.0" encoding="utf-8"?>
<sst xmlns="http://schemas.openxmlformats.org/spreadsheetml/2006/main" count="893" uniqueCount="400">
  <si>
    <t>Character Name</t>
  </si>
  <si>
    <t>Alignment</t>
  </si>
  <si>
    <t>Ability Name</t>
  </si>
  <si>
    <t>STR</t>
  </si>
  <si>
    <t>DEX</t>
  </si>
  <si>
    <t>CON</t>
  </si>
  <si>
    <t>INT</t>
  </si>
  <si>
    <t>WIS</t>
  </si>
  <si>
    <t>CHA</t>
  </si>
  <si>
    <t>ability</t>
  </si>
  <si>
    <t>score</t>
  </si>
  <si>
    <t>modifier</t>
  </si>
  <si>
    <t>Modifier</t>
  </si>
  <si>
    <t>temp.</t>
  </si>
  <si>
    <t>adjust.</t>
  </si>
  <si>
    <t>Race</t>
  </si>
  <si>
    <t>Class</t>
  </si>
  <si>
    <t>Homeland</t>
  </si>
  <si>
    <t>Level</t>
  </si>
  <si>
    <t>LN</t>
  </si>
  <si>
    <t>HP</t>
  </si>
  <si>
    <t>Total</t>
  </si>
  <si>
    <t>Current</t>
  </si>
  <si>
    <t>DR</t>
  </si>
  <si>
    <t>Nonlethal</t>
  </si>
  <si>
    <t>AC</t>
  </si>
  <si>
    <t>armor</t>
  </si>
  <si>
    <t>bonus</t>
  </si>
  <si>
    <t>misc</t>
  </si>
  <si>
    <t>TOTAL</t>
  </si>
  <si>
    <t>shield</t>
  </si>
  <si>
    <t>dex</t>
  </si>
  <si>
    <t>size</t>
  </si>
  <si>
    <t>Size</t>
  </si>
  <si>
    <t>Size Modifier</t>
  </si>
  <si>
    <t>Colossal</t>
  </si>
  <si>
    <t>Gargantuan</t>
  </si>
  <si>
    <t>Huge</t>
  </si>
  <si>
    <t>Large</t>
  </si>
  <si>
    <t>Medium</t>
  </si>
  <si>
    <t>Small</t>
  </si>
  <si>
    <t>Tiny</t>
  </si>
  <si>
    <t>Diminutive</t>
  </si>
  <si>
    <t>Fine</t>
  </si>
  <si>
    <t>Full name</t>
  </si>
  <si>
    <t>C</t>
  </si>
  <si>
    <t>G</t>
  </si>
  <si>
    <t>H</t>
  </si>
  <si>
    <t>L</t>
  </si>
  <si>
    <t>M</t>
  </si>
  <si>
    <t>S</t>
  </si>
  <si>
    <t>T</t>
  </si>
  <si>
    <t>D</t>
  </si>
  <si>
    <t>F</t>
  </si>
  <si>
    <t>natural</t>
  </si>
  <si>
    <t>deflection</t>
  </si>
  <si>
    <t>=10+</t>
  </si>
  <si>
    <t>TOUCH</t>
  </si>
  <si>
    <t>AC modifiers</t>
  </si>
  <si>
    <t>FORTITUDE</t>
  </si>
  <si>
    <t>REFLEX</t>
  </si>
  <si>
    <t>WILL</t>
  </si>
  <si>
    <t>(WISDOM)</t>
  </si>
  <si>
    <t>(DEXTERITY)</t>
  </si>
  <si>
    <t>(CONSTITUTION)</t>
  </si>
  <si>
    <t>CONSTITUTION</t>
  </si>
  <si>
    <t>DEXTERITY</t>
  </si>
  <si>
    <t>INTELLIGENCE</t>
  </si>
  <si>
    <t>WISDOM</t>
  </si>
  <si>
    <t>CHARISMA</t>
  </si>
  <si>
    <t>ARMOR CLASS</t>
  </si>
  <si>
    <t>STRENGTH</t>
  </si>
  <si>
    <t>HIT POINTS</t>
  </si>
  <si>
    <t>MODIFIER</t>
  </si>
  <si>
    <t>SAVING THROWS</t>
  </si>
  <si>
    <t>base</t>
  </si>
  <si>
    <t>save</t>
  </si>
  <si>
    <t>=</t>
  </si>
  <si>
    <t>magic</t>
  </si>
  <si>
    <t>misc.</t>
  </si>
  <si>
    <t>modifiers</t>
  </si>
  <si>
    <t>CMB</t>
  </si>
  <si>
    <t>CMD</t>
  </si>
  <si>
    <t>base att.</t>
  </si>
  <si>
    <t>Critical</t>
  </si>
  <si>
    <t>multiplier</t>
  </si>
  <si>
    <t>critical</t>
  </si>
  <si>
    <t>threat range</t>
  </si>
  <si>
    <t>attack bonus</t>
  </si>
  <si>
    <t>TYPE</t>
  </si>
  <si>
    <t>RANGE</t>
  </si>
  <si>
    <t>AMMUNITION</t>
  </si>
  <si>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2</t>
    </r>
  </si>
  <si>
    <t>×3</t>
  </si>
  <si>
    <t>×3/×4</t>
  </si>
  <si>
    <t>×4</t>
  </si>
  <si>
    <t>Damage</t>
  </si>
  <si>
    <t>Threat</t>
  </si>
  <si>
    <t>Range</t>
  </si>
  <si>
    <t>19-20</t>
  </si>
  <si>
    <t>18-20</t>
  </si>
  <si>
    <t>17-20</t>
  </si>
  <si>
    <t>16-20</t>
  </si>
  <si>
    <t>Ability</t>
  </si>
  <si>
    <t>Score</t>
  </si>
  <si>
    <t>mod</t>
  </si>
  <si>
    <t>Two-handed?</t>
  </si>
  <si>
    <t>2H</t>
  </si>
  <si>
    <t>yes</t>
  </si>
  <si>
    <t>no</t>
  </si>
  <si>
    <t>Two handed?</t>
  </si>
  <si>
    <t>B</t>
  </si>
  <si>
    <t>Weapon Type</t>
  </si>
  <si>
    <t>P</t>
  </si>
  <si>
    <t>P/S</t>
  </si>
  <si>
    <t>B/P</t>
  </si>
  <si>
    <t>B/S</t>
  </si>
  <si>
    <t>Type</t>
  </si>
  <si>
    <t>LG</t>
  </si>
  <si>
    <t>NG</t>
  </si>
  <si>
    <t>CG</t>
  </si>
  <si>
    <t>TN</t>
  </si>
  <si>
    <t>Lawful Good</t>
  </si>
  <si>
    <t>Neutral Good</t>
  </si>
  <si>
    <t>Chaotic Good</t>
  </si>
  <si>
    <t>Lawful Neutral</t>
  </si>
  <si>
    <t>True Neutral</t>
  </si>
  <si>
    <t>CN</t>
  </si>
  <si>
    <t>Chaotic Neutral</t>
  </si>
  <si>
    <t>LE</t>
  </si>
  <si>
    <t>NE</t>
  </si>
  <si>
    <t>CE</t>
  </si>
  <si>
    <t>Lawful Evil</t>
  </si>
  <si>
    <t>Neutral Evil</t>
  </si>
  <si>
    <t>Chaotic Evil</t>
  </si>
  <si>
    <t>gender</t>
  </si>
  <si>
    <t>Gender</t>
  </si>
  <si>
    <t>?</t>
  </si>
  <si>
    <t>♂</t>
  </si>
  <si>
    <t>♀</t>
  </si>
  <si>
    <t>o</t>
  </si>
  <si>
    <t>height</t>
  </si>
  <si>
    <t>weight</t>
  </si>
  <si>
    <t>lbs</t>
  </si>
  <si>
    <t>eyes</t>
  </si>
  <si>
    <t>hair</t>
  </si>
  <si>
    <t>RANGE  (ft.)</t>
  </si>
  <si>
    <r>
      <t xml:space="preserve">Size modifies </t>
    </r>
    <r>
      <rPr>
        <b/>
        <u/>
        <sz val="11"/>
        <color theme="1"/>
        <rFont val="Calibri"/>
        <family val="2"/>
        <scheme val="minor"/>
      </rPr>
      <t>Fly</t>
    </r>
  </si>
  <si>
    <t>LAND</t>
  </si>
  <si>
    <t>SKILLS</t>
  </si>
  <si>
    <t>Acrobatics</t>
  </si>
  <si>
    <t>MISC.</t>
  </si>
  <si>
    <t>MOD.</t>
  </si>
  <si>
    <t>RANKS</t>
  </si>
  <si>
    <t>Skill names</t>
  </si>
  <si>
    <t>Appraise</t>
  </si>
  <si>
    <t>BONUS</t>
  </si>
  <si>
    <t>ABILITY</t>
  </si>
  <si>
    <t>+</t>
  </si>
  <si>
    <t>Bluff</t>
  </si>
  <si>
    <t>Climb</t>
  </si>
  <si>
    <t>Diplomacy</t>
  </si>
  <si>
    <t>Disguise</t>
  </si>
  <si>
    <t>Escape Artist</t>
  </si>
  <si>
    <t>Fly</t>
  </si>
  <si>
    <t>Heal</t>
  </si>
  <si>
    <t>Intimidate</t>
  </si>
  <si>
    <t>Disable Device*</t>
  </si>
  <si>
    <t>Handle Animal*</t>
  </si>
  <si>
    <t>Linguistics*</t>
  </si>
  <si>
    <t>Ride</t>
  </si>
  <si>
    <t>Sense Motive</t>
  </si>
  <si>
    <t>Sleight of Hand*</t>
  </si>
  <si>
    <t>Spellcraft*</t>
  </si>
  <si>
    <t>Stealth</t>
  </si>
  <si>
    <t>Survival</t>
  </si>
  <si>
    <t>Swim</t>
  </si>
  <si>
    <t>Use Magic Device*</t>
  </si>
  <si>
    <t>✔</t>
  </si>
  <si>
    <t>Class skill?</t>
  </si>
  <si>
    <t>Conditional Modifiers:</t>
  </si>
  <si>
    <t>Languages:</t>
  </si>
  <si>
    <r>
      <t xml:space="preserve">✔ </t>
    </r>
    <r>
      <rPr>
        <sz val="12"/>
        <rFont val="Lithos Pro Regular"/>
        <family val="5"/>
      </rPr>
      <t>Class Skill     *Trained Only</t>
    </r>
  </si>
  <si>
    <t>Speed</t>
  </si>
  <si>
    <t>age</t>
  </si>
  <si>
    <t>deity</t>
  </si>
  <si>
    <t>level</t>
  </si>
  <si>
    <t>player Name</t>
  </si>
  <si>
    <t>Alignmt.</t>
  </si>
  <si>
    <t>base speed (ft)</t>
  </si>
  <si>
    <t>with armor (ft)</t>
  </si>
  <si>
    <t>squares</t>
  </si>
  <si>
    <t>climb (ft)</t>
  </si>
  <si>
    <t>maneuverability</t>
  </si>
  <si>
    <t>fly (ft)</t>
  </si>
  <si>
    <t>None</t>
  </si>
  <si>
    <t>clumsy</t>
  </si>
  <si>
    <t>poor</t>
  </si>
  <si>
    <t>average</t>
  </si>
  <si>
    <t>good</t>
  </si>
  <si>
    <t>perfect</t>
  </si>
  <si>
    <t>Climb modifier</t>
  </si>
  <si>
    <t>swim (ft)</t>
  </si>
  <si>
    <t>Swim modifier</t>
  </si>
  <si>
    <t>FLAT-FOOTED</t>
  </si>
  <si>
    <t>speed</t>
  </si>
  <si>
    <t>Burrow (ft)</t>
  </si>
  <si>
    <t>temp modifiers</t>
  </si>
  <si>
    <t>spell resistance</t>
  </si>
  <si>
    <t>BAB</t>
  </si>
  <si>
    <t>Displayed</t>
  </si>
  <si>
    <t>Fortitude</t>
  </si>
  <si>
    <t>Reflex</t>
  </si>
  <si>
    <t>Will</t>
  </si>
  <si>
    <t>Player</t>
  </si>
  <si>
    <t>+1</t>
  </si>
  <si>
    <t>+2</t>
  </si>
  <si>
    <t>+3</t>
  </si>
  <si>
    <t>+0</t>
  </si>
  <si>
    <t>+4</t>
  </si>
  <si>
    <t>+5</t>
  </si>
  <si>
    <t>+6/+1</t>
  </si>
  <si>
    <t>+7/+2</t>
  </si>
  <si>
    <t>+8/+3</t>
  </si>
  <si>
    <t>+9/+4</t>
  </si>
  <si>
    <t>+10/+5</t>
  </si>
  <si>
    <t>+11/+6/+1</t>
  </si>
  <si>
    <t>+12/+7/+2</t>
  </si>
  <si>
    <t>+13/+8/+3</t>
  </si>
  <si>
    <t>+14/+9/+4</t>
  </si>
  <si>
    <t>+15/+10/+5</t>
  </si>
  <si>
    <t>Calculate</t>
  </si>
  <si>
    <t>initiative</t>
  </si>
  <si>
    <t>Totals</t>
  </si>
  <si>
    <t>CHECK</t>
  </si>
  <si>
    <t>PENALTY</t>
  </si>
  <si>
    <t>WT (lbs)</t>
  </si>
  <si>
    <t>max dex</t>
  </si>
  <si>
    <t>Armor Class items</t>
  </si>
  <si>
    <t>weapon</t>
  </si>
  <si>
    <t>heavy</t>
  </si>
  <si>
    <t>light</t>
  </si>
  <si>
    <t>med.</t>
  </si>
  <si>
    <t>Armor</t>
  </si>
  <si>
    <t>Armor/Shield Bonus</t>
  </si>
  <si>
    <t>Maximum Dex Bonus</t>
  </si>
  <si>
    <t>Armor Check Penalty</t>
  </si>
  <si>
    <t>Arcane Spell Failure Chance</t>
  </si>
  <si>
    <t>30 ft.</t>
  </si>
  <si>
    <t>20 ft.</t>
  </si>
  <si>
    <t>—</t>
  </si>
  <si>
    <t>Padded</t>
  </si>
  <si>
    <t>Quilted Cloth</t>
  </si>
  <si>
    <t>Reinforced tunic</t>
  </si>
  <si>
    <t>Leather</t>
  </si>
  <si>
    <t>Rosewood armor</t>
  </si>
  <si>
    <t>Hide shirt</t>
  </si>
  <si>
    <t>Leaf armor</t>
  </si>
  <si>
    <t>Parade armor</t>
  </si>
  <si>
    <t>Spider-silk bodysuit</t>
  </si>
  <si>
    <t>Studded leather</t>
  </si>
  <si>
    <t>Wooden</t>
  </si>
  <si>
    <t>Chain shirt</t>
  </si>
  <si>
    <t>Weight</t>
  </si>
  <si>
    <t>Armored Kilt</t>
  </si>
  <si>
    <t>Armored Coat</t>
  </si>
  <si>
    <t>15 ft.</t>
  </si>
  <si>
    <t>Chain coat</t>
  </si>
  <si>
    <t>Hide</t>
  </si>
  <si>
    <t>Ice coat</t>
  </si>
  <si>
    <t>Scale mail</t>
  </si>
  <si>
    <t>Breastplate</t>
  </si>
  <si>
    <t>Breastplate (agile)</t>
  </si>
  <si>
    <t>Chainmail</t>
  </si>
  <si>
    <t>Banded mail</t>
  </si>
  <si>
    <t>Field Plate</t>
  </si>
  <si>
    <t>Splint mail</t>
  </si>
  <si>
    <t>Fortress plate</t>
  </si>
  <si>
    <t>Half-plate</t>
  </si>
  <si>
    <t>Half-plate (agile)</t>
  </si>
  <si>
    <t>Full plate</t>
  </si>
  <si>
    <t>Hellknight plate</t>
  </si>
  <si>
    <t>Stoneplate</t>
  </si>
  <si>
    <t>10 ft.</t>
  </si>
  <si>
    <t>Buckler</t>
  </si>
  <si>
    <t>Klar</t>
  </si>
  <si>
    <t>Madu, leather</t>
  </si>
  <si>
    <t>Madu, steel</t>
  </si>
  <si>
    <t>Shield, light steel</t>
  </si>
  <si>
    <t>Shield, light steel (quickdraw)</t>
  </si>
  <si>
    <t>Shield, light wooden</t>
  </si>
  <si>
    <t>Shield, light wooden (quickdraw)</t>
  </si>
  <si>
    <t>Shield, heavy steel</t>
  </si>
  <si>
    <t>Shield, heavy wooden</t>
  </si>
  <si>
    <t>Shield, tower</t>
  </si>
  <si>
    <t>Snarlshield, steel</t>
  </si>
  <si>
    <t>Snarlshield, wooden</t>
  </si>
  <si>
    <t>War-shield, dwarven</t>
  </si>
  <si>
    <t>Detect shield</t>
  </si>
  <si>
    <t>Bonus</t>
  </si>
  <si>
    <t>Arcane</t>
  </si>
  <si>
    <t>failure %</t>
  </si>
  <si>
    <t>Light</t>
  </si>
  <si>
    <t>medium</t>
  </si>
  <si>
    <t>heavy load</t>
  </si>
  <si>
    <t>lift over head</t>
  </si>
  <si>
    <t>medium load</t>
  </si>
  <si>
    <t>lift off ground</t>
  </si>
  <si>
    <t>drag or push</t>
  </si>
  <si>
    <t>cp</t>
  </si>
  <si>
    <t>sp</t>
  </si>
  <si>
    <t>gp</t>
  </si>
  <si>
    <t>pp</t>
  </si>
  <si>
    <t>next level at</t>
  </si>
  <si>
    <t>BASE ATTACK BONUS</t>
  </si>
  <si>
    <t>MONEY</t>
  </si>
  <si>
    <t>EXPERIENCE</t>
  </si>
  <si>
    <t>slow</t>
  </si>
  <si>
    <t>fast</t>
  </si>
  <si>
    <t>STR score</t>
  </si>
  <si>
    <t>Load</t>
  </si>
  <si>
    <t>Light load (Size M)</t>
  </si>
  <si>
    <t>Heavy Load (Size M)</t>
  </si>
  <si>
    <t>Heavy Load (actual)</t>
  </si>
  <si>
    <t>Light Load (actual)</t>
  </si>
  <si>
    <t>Medium Load (Size M)</t>
  </si>
  <si>
    <t>Medium Load (actual)</t>
  </si>
  <si>
    <t>Max load x Size</t>
  </si>
  <si>
    <t>Run</t>
  </si>
  <si>
    <t>Heavy</t>
  </si>
  <si>
    <t>AC Penalty</t>
  </si>
  <si>
    <t>light load</t>
  </si>
  <si>
    <t>Encumbrance effects:</t>
  </si>
  <si>
    <t>Character advancement</t>
  </si>
  <si>
    <t>Which curve?</t>
  </si>
  <si>
    <t>Level (shown)</t>
  </si>
  <si>
    <t>Level (calc)</t>
  </si>
  <si>
    <t>AC penalty</t>
  </si>
  <si>
    <t>Normal</t>
  </si>
  <si>
    <t>Slowed</t>
  </si>
  <si>
    <t>Max DEX</t>
  </si>
  <si>
    <t>Encumbrance Effects</t>
  </si>
  <si>
    <t>max DEX</t>
  </si>
  <si>
    <t>Gear</t>
  </si>
  <si>
    <t>amount</t>
  </si>
  <si>
    <t>Overall total</t>
  </si>
  <si>
    <t>total weight</t>
  </si>
  <si>
    <t>Current load</t>
  </si>
  <si>
    <t>Maneuverability (fly)</t>
  </si>
  <si>
    <t>Move speed</t>
  </si>
  <si>
    <t>AC items vs Encumbrance</t>
  </si>
  <si>
    <t>Lowest</t>
  </si>
  <si>
    <t>DEX vs Encumbrance</t>
  </si>
  <si>
    <t>equipped</t>
  </si>
  <si>
    <t>Malus check</t>
  </si>
  <si>
    <t>DEX score bonus</t>
  </si>
  <si>
    <t>Load number</t>
  </si>
  <si>
    <t>Name</t>
  </si>
  <si>
    <t>AC misc</t>
  </si>
  <si>
    <t>Fort save</t>
  </si>
  <si>
    <t>Ref save</t>
  </si>
  <si>
    <t>Will save</t>
  </si>
  <si>
    <t>Craft A</t>
  </si>
  <si>
    <t>Craft B</t>
  </si>
  <si>
    <t>Craft C</t>
  </si>
  <si>
    <t>Perform A</t>
  </si>
  <si>
    <t>Perform B</t>
  </si>
  <si>
    <t>Prof.* A</t>
  </si>
  <si>
    <t>Prof.* B</t>
  </si>
  <si>
    <t>Original rolls</t>
  </si>
  <si>
    <t>Perception</t>
  </si>
  <si>
    <t>Natural Armor</t>
  </si>
  <si>
    <t>Deflection modifier</t>
  </si>
  <si>
    <t>Initiative</t>
  </si>
  <si>
    <r>
      <t>Craft</t>
    </r>
    <r>
      <rPr>
        <sz val="14"/>
        <color theme="0"/>
        <rFont val="Lithos Pro Regular"/>
        <family val="5"/>
      </rPr>
      <t xml:space="preserve"> A</t>
    </r>
  </si>
  <si>
    <r>
      <t>Craft</t>
    </r>
    <r>
      <rPr>
        <sz val="14"/>
        <color theme="0"/>
        <rFont val="Lithos Pro Regular"/>
        <family val="5"/>
      </rPr>
      <t xml:space="preserve"> B</t>
    </r>
  </si>
  <si>
    <r>
      <t>Craft</t>
    </r>
    <r>
      <rPr>
        <sz val="14"/>
        <color theme="0"/>
        <rFont val="Lithos Pro Regular"/>
        <family val="5"/>
      </rPr>
      <t xml:space="preserve"> C</t>
    </r>
  </si>
  <si>
    <r>
      <t>Perform</t>
    </r>
    <r>
      <rPr>
        <sz val="14"/>
        <color theme="0"/>
        <rFont val="Lithos Pro Regular"/>
        <family val="5"/>
      </rPr>
      <t xml:space="preserve"> A</t>
    </r>
  </si>
  <si>
    <r>
      <t>Perform</t>
    </r>
    <r>
      <rPr>
        <sz val="14"/>
        <color theme="0"/>
        <rFont val="Lithos Pro Regular"/>
        <family val="5"/>
      </rPr>
      <t xml:space="preserve"> B</t>
    </r>
  </si>
  <si>
    <r>
      <t>Prof.*</t>
    </r>
    <r>
      <rPr>
        <sz val="14"/>
        <color theme="0"/>
        <rFont val="Lithos Pro Regular"/>
        <family val="5"/>
      </rPr>
      <t xml:space="preserve"> A</t>
    </r>
  </si>
  <si>
    <r>
      <t>Prof.*</t>
    </r>
    <r>
      <rPr>
        <sz val="14"/>
        <color theme="0"/>
        <rFont val="Lithos Pro Regular"/>
        <family val="5"/>
      </rPr>
      <t xml:space="preserve"> B</t>
    </r>
  </si>
  <si>
    <t>Damage reduction</t>
  </si>
  <si>
    <t>Race:</t>
  </si>
  <si>
    <t>Tim</t>
  </si>
  <si>
    <t>Sander</t>
  </si>
  <si>
    <t>Human</t>
  </si>
  <si>
    <t>Cleric</t>
  </si>
  <si>
    <t>5.4 ft</t>
  </si>
  <si>
    <t>Mara (3.5e)</t>
  </si>
  <si>
    <t>Knowledge (arcana)*</t>
  </si>
  <si>
    <t>Knowledge (dungeoneering)*</t>
  </si>
  <si>
    <t>Knowledge (engineering)*</t>
  </si>
  <si>
    <t>Knowledge (geography)*</t>
  </si>
  <si>
    <t>Knowledge (history)*</t>
  </si>
  <si>
    <t>Knowledge (local)*</t>
  </si>
  <si>
    <t>Knowledge (nature)*</t>
  </si>
  <si>
    <t>Knowledge (nobility)*</t>
  </si>
  <si>
    <t>Knowledge (planes)*</t>
  </si>
  <si>
    <t>Knowledge (religion)*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</si>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</sst>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Lithos Pro Regular"/>
      <family val="5"/>
    </font>
    <font>
      <sz val="10"/>
      <color theme="1"/>
      <name val="Lithos Pro Regular"/>
      <family val="5"/>
    </font>
    <font>
      <sz val="18"/>
      <color theme="1"/>
      <name val="Lithos Pro Regular"/>
      <family val="5"/>
    </font>
    <font>
      <sz val="20"/>
      <color theme="0"/>
      <name val="Lithos Pro Regular"/>
      <family val="5"/>
    </font>
    <font>
      <sz val="10"/>
      <color theme="0"/>
      <name val="Lithos Pro Regular"/>
      <family val="5"/>
    </font>
    <font>
      <sz val="18"/>
      <color theme="0"/>
      <name val="Lithos Pro Regular"/>
      <family val="5"/>
    </font>
    <font>
      <sz val="24"/>
      <color theme="0"/>
      <name val="Lithos Pro Regular"/>
      <family val="5"/>
    </font>
    <font>
      <sz val="28"/>
      <color theme="0"/>
      <name val="Lithos Pro Regular"/>
      <family val="5"/>
    </font>
    <font>
      <sz val="24"/>
      <color theme="1"/>
      <name val="Lithos Pro Regular"/>
      <family val="5"/>
    </font>
    <font>
      <sz val="28"/>
      <color theme="1"/>
      <name val="Lithos Pro Regular"/>
      <family val="5"/>
    </font>
    <font>
      <sz val="8"/>
      <color theme="0"/>
      <name val="Lithos Pro Regular"/>
      <family val="5"/>
    </font>
    <font>
      <sz val="12"/>
      <color theme="0"/>
      <name val="Lithos Pro Regular"/>
      <family val="5"/>
    </font>
    <font>
      <sz val="14"/>
      <color theme="0"/>
      <name val="Lithos Pro Regular"/>
      <family val="5"/>
    </font>
    <font>
      <sz val="18"/>
      <name val="Lithos Pro Regular"/>
      <family val="5"/>
    </font>
    <font>
      <b/>
      <sz val="11"/>
      <name val="Calibri"/>
      <family val="2"/>
      <scheme val="minor"/>
    </font>
    <font>
      <sz val="11"/>
      <color theme="1"/>
      <name val="Segoe UI Symbol"/>
      <family val="2"/>
    </font>
    <font>
      <b/>
      <u/>
      <sz val="11"/>
      <color theme="1"/>
      <name val="Calibri"/>
      <family val="2"/>
      <scheme val="minor"/>
    </font>
    <font>
      <sz val="10"/>
      <name val="Lithos Pro Regular"/>
      <family val="5"/>
    </font>
    <font>
      <sz val="22"/>
      <color theme="0"/>
      <name val="Lithos Pro Regular"/>
      <family val="5"/>
    </font>
    <font>
      <sz val="12"/>
      <color theme="1"/>
      <name val="Lithos Pro Regular"/>
      <family val="5"/>
    </font>
    <font>
      <sz val="14"/>
      <color theme="1"/>
      <name val="Lithos Pro Regular"/>
      <family val="5"/>
    </font>
    <font>
      <b/>
      <sz val="14"/>
      <color theme="1"/>
      <name val="Lithos Pro Regular"/>
      <family val="5"/>
    </font>
    <font>
      <sz val="16"/>
      <color theme="1"/>
      <name val="Lithos Pro Regular"/>
      <family val="5"/>
    </font>
    <font>
      <sz val="20"/>
      <color theme="1"/>
      <name val="Lithos Pro Regular"/>
      <family val="5"/>
    </font>
    <font>
      <sz val="12"/>
      <name val="Lithos Pro Regular"/>
      <family val="5"/>
    </font>
    <font>
      <sz val="14"/>
      <name val="Lithos Pro Regular"/>
      <family val="5"/>
    </font>
    <font>
      <sz val="12"/>
      <name val="Segoe UI Symbol"/>
      <family val="2"/>
    </font>
    <font>
      <sz val="22"/>
      <name val="Lithos Pro Regular"/>
      <family val="5"/>
    </font>
    <font>
      <sz val="20"/>
      <name val="Lithos Pro Regular"/>
      <family val="5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Lithos Pro Regular"/>
      <family val="5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Lithos Pro Regular"/>
      <family val="5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Lithos Pro Regular"/>
      <family val="5"/>
    </font>
    <font>
      <b/>
      <sz val="11"/>
      <color theme="1"/>
      <name val="Lithos Pro Regular"/>
      <family val="5"/>
    </font>
    <font>
      <sz val="11"/>
      <color rgb="FF000000"/>
      <name val="Calibri"/>
      <family val="2"/>
      <scheme val="minor"/>
    </font>
    <font>
      <sz val="16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A162D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5" fillId="6" borderId="0" applyNumberFormat="0" applyBorder="0" applyAlignment="0" applyProtection="0"/>
    <xf numFmtId="0" fontId="40" fillId="0" borderId="0" applyNumberFormat="0" applyFill="0" applyBorder="0" applyAlignment="0" applyProtection="0"/>
  </cellStyleXfs>
  <cellXfs count="495">
    <xf numFmtId="0" fontId="0" fillId="0" borderId="0" xfId="0"/>
    <xf numFmtId="0" fontId="4" fillId="0" borderId="0" xfId="0" applyFont="1"/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3" fillId="3" borderId="5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3" fillId="2" borderId="4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right"/>
    </xf>
    <xf numFmtId="0" fontId="4" fillId="3" borderId="1" xfId="0" applyFont="1" applyFill="1" applyBorder="1" applyAlignment="1"/>
    <xf numFmtId="0" fontId="13" fillId="2" borderId="1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13" xfId="0" applyFont="1" applyFill="1" applyBorder="1" applyAlignment="1"/>
    <xf numFmtId="0" fontId="7" fillId="2" borderId="14" xfId="0" applyFont="1" applyFill="1" applyBorder="1" applyAlignment="1"/>
    <xf numFmtId="0" fontId="7" fillId="2" borderId="15" xfId="0" applyFont="1" applyFill="1" applyBorder="1" applyAlignment="1"/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top"/>
    </xf>
    <xf numFmtId="0" fontId="1" fillId="0" borderId="19" xfId="0" applyFont="1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23" xfId="0" applyBorder="1"/>
    <xf numFmtId="0" fontId="0" fillId="0" borderId="24" xfId="0" applyBorder="1"/>
    <xf numFmtId="0" fontId="1" fillId="0" borderId="25" xfId="0" applyFont="1" applyBorder="1"/>
    <xf numFmtId="0" fontId="0" fillId="0" borderId="0" xfId="0" applyBorder="1"/>
    <xf numFmtId="0" fontId="18" fillId="0" borderId="0" xfId="0" applyFont="1" applyBorder="1"/>
    <xf numFmtId="0" fontId="0" fillId="0" borderId="26" xfId="0" applyBorder="1"/>
    <xf numFmtId="0" fontId="1" fillId="0" borderId="23" xfId="0" applyFont="1" applyBorder="1"/>
    <xf numFmtId="0" fontId="1" fillId="0" borderId="20" xfId="0" applyFont="1" applyBorder="1"/>
    <xf numFmtId="0" fontId="0" fillId="0" borderId="19" xfId="0" applyBorder="1"/>
    <xf numFmtId="0" fontId="1" fillId="0" borderId="19" xfId="0" applyFont="1" applyBorder="1" applyAlignment="1">
      <alignment horizontal="right"/>
    </xf>
    <xf numFmtId="0" fontId="1" fillId="0" borderId="22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/>
    <xf numFmtId="0" fontId="4" fillId="3" borderId="0" xfId="0" applyFont="1" applyFill="1" applyAlignment="1"/>
    <xf numFmtId="0" fontId="17" fillId="0" borderId="25" xfId="0" applyFont="1" applyBorder="1"/>
    <xf numFmtId="0" fontId="18" fillId="0" borderId="19" xfId="0" applyFont="1" applyBorder="1"/>
    <xf numFmtId="0" fontId="18" fillId="0" borderId="21" xfId="0" applyFont="1" applyBorder="1"/>
    <xf numFmtId="0" fontId="20" fillId="3" borderId="0" xfId="0" applyFont="1" applyFill="1"/>
    <xf numFmtId="0" fontId="4" fillId="3" borderId="0" xfId="0" applyFont="1" applyFill="1" applyAlignment="1">
      <alignment vertical="top"/>
    </xf>
    <xf numFmtId="0" fontId="4" fillId="3" borderId="0" xfId="0" applyFont="1" applyFill="1" applyAlignment="1">
      <alignment horizontal="left" vertical="top"/>
    </xf>
    <xf numFmtId="0" fontId="20" fillId="3" borderId="0" xfId="0" applyFont="1" applyFill="1" applyBorder="1" applyAlignment="1">
      <alignment horizontal="right" vertical="center"/>
    </xf>
    <xf numFmtId="0" fontId="1" fillId="0" borderId="0" xfId="0" applyFont="1" applyFill="1" applyBorder="1"/>
    <xf numFmtId="0" fontId="17" fillId="0" borderId="22" xfId="0" applyFont="1" applyFill="1" applyBorder="1"/>
    <xf numFmtId="0" fontId="32" fillId="0" borderId="19" xfId="0" applyFont="1" applyBorder="1"/>
    <xf numFmtId="0" fontId="4" fillId="0" borderId="3" xfId="0" applyFont="1" applyFill="1" applyBorder="1" applyProtection="1">
      <protection locked="0"/>
    </xf>
    <xf numFmtId="0" fontId="4" fillId="0" borderId="31" xfId="0" applyFont="1" applyFill="1" applyBorder="1" applyProtection="1">
      <protection locked="0"/>
    </xf>
    <xf numFmtId="0" fontId="4" fillId="0" borderId="4" xfId="0" applyFont="1" applyFill="1" applyBorder="1" applyProtection="1">
      <protection locked="0"/>
    </xf>
    <xf numFmtId="0" fontId="4" fillId="0" borderId="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3" borderId="22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9" fontId="0" fillId="0" borderId="0" xfId="0" applyNumberFormat="1" applyBorder="1" applyAlignment="1">
      <alignment horizontal="center"/>
    </xf>
    <xf numFmtId="9" fontId="0" fillId="0" borderId="26" xfId="0" applyNumberFormat="1" applyBorder="1" applyAlignment="1">
      <alignment horizontal="center"/>
    </xf>
    <xf numFmtId="0" fontId="33" fillId="0" borderId="23" xfId="0" applyFont="1" applyBorder="1" applyAlignment="1">
      <alignment vertical="center" wrapText="1"/>
    </xf>
    <xf numFmtId="0" fontId="33" fillId="0" borderId="24" xfId="0" applyFont="1" applyBorder="1" applyAlignment="1">
      <alignment vertical="center" wrapText="1"/>
    </xf>
    <xf numFmtId="0" fontId="32" fillId="0" borderId="20" xfId="0" applyFont="1" applyBorder="1" applyAlignment="1">
      <alignment horizontal="center"/>
    </xf>
    <xf numFmtId="0" fontId="32" fillId="0" borderId="21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left"/>
    </xf>
    <xf numFmtId="0" fontId="4" fillId="3" borderId="6" xfId="0" applyFont="1" applyFill="1" applyBorder="1"/>
    <xf numFmtId="0" fontId="4" fillId="3" borderId="11" xfId="0" applyFont="1" applyFill="1" applyBorder="1"/>
    <xf numFmtId="0" fontId="4" fillId="3" borderId="7" xfId="0" applyFont="1" applyFill="1" applyBorder="1"/>
    <xf numFmtId="0" fontId="4" fillId="3" borderId="12" xfId="0" applyFont="1" applyFill="1" applyBorder="1"/>
    <xf numFmtId="0" fontId="4" fillId="3" borderId="5" xfId="0" applyFont="1" applyFill="1" applyBorder="1"/>
    <xf numFmtId="0" fontId="4" fillId="3" borderId="9" xfId="0" applyFont="1" applyFill="1" applyBorder="1"/>
    <xf numFmtId="0" fontId="0" fillId="0" borderId="0" xfId="0" applyAlignment="1">
      <alignment horizontal="center" wrapText="1"/>
    </xf>
    <xf numFmtId="0" fontId="28" fillId="3" borderId="25" xfId="0" applyFont="1" applyFill="1" applyBorder="1" applyAlignment="1"/>
    <xf numFmtId="0" fontId="28" fillId="3" borderId="0" xfId="0" applyFont="1" applyFill="1" applyBorder="1" applyAlignment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22" xfId="0" applyFont="1" applyFill="1" applyBorder="1"/>
    <xf numFmtId="0" fontId="0" fillId="0" borderId="25" xfId="0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0" fillId="5" borderId="0" xfId="0" applyFill="1" applyBorder="1" applyAlignment="1">
      <alignment horizontal="center" wrapText="1"/>
    </xf>
    <xf numFmtId="0" fontId="0" fillId="5" borderId="26" xfId="0" applyFill="1" applyBorder="1" applyAlignment="1">
      <alignment horizontal="center" wrapText="1"/>
    </xf>
    <xf numFmtId="0" fontId="0" fillId="5" borderId="20" xfId="0" applyFill="1" applyBorder="1" applyAlignment="1">
      <alignment horizontal="center" wrapText="1"/>
    </xf>
    <xf numFmtId="0" fontId="0" fillId="5" borderId="21" xfId="0" applyFill="1" applyBorder="1" applyAlignment="1">
      <alignment horizontal="center" wrapText="1"/>
    </xf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1" fillId="0" borderId="32" xfId="0" applyFont="1" applyFill="1" applyBorder="1" applyAlignment="1">
      <alignment horizontal="center"/>
    </xf>
    <xf numFmtId="3" fontId="0" fillId="0" borderId="17" xfId="0" applyNumberFormat="1" applyBorder="1"/>
    <xf numFmtId="3" fontId="0" fillId="0" borderId="17" xfId="0" applyNumberFormat="1" applyBorder="1" applyAlignment="1">
      <alignment horizontal="center"/>
    </xf>
    <xf numFmtId="3" fontId="0" fillId="0" borderId="18" xfId="0" applyNumberFormat="1" applyBorder="1" applyAlignment="1">
      <alignment horizontal="center"/>
    </xf>
    <xf numFmtId="0" fontId="17" fillId="0" borderId="22" xfId="0" applyFont="1" applyFill="1" applyBorder="1" applyAlignment="1">
      <alignment vertical="center"/>
    </xf>
    <xf numFmtId="0" fontId="32" fillId="0" borderId="0" xfId="0" applyFont="1" applyFill="1"/>
    <xf numFmtId="0" fontId="32" fillId="0" borderId="0" xfId="0" applyFont="1" applyFill="1" applyBorder="1"/>
    <xf numFmtId="0" fontId="20" fillId="3" borderId="19" xfId="0" applyFont="1" applyFill="1" applyBorder="1" applyAlignment="1" applyProtection="1">
      <alignment horizontal="center" vertical="center"/>
      <protection locked="0"/>
    </xf>
    <xf numFmtId="0" fontId="0" fillId="4" borderId="23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36" fillId="2" borderId="24" xfId="0" applyFont="1" applyFill="1" applyBorder="1"/>
    <xf numFmtId="0" fontId="36" fillId="2" borderId="32" xfId="0" applyFont="1" applyFill="1" applyBorder="1"/>
    <xf numFmtId="0" fontId="32" fillId="5" borderId="32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0" xfId="0" applyBorder="1" applyAlignment="1"/>
    <xf numFmtId="0" fontId="0" fillId="0" borderId="23" xfId="0" applyFont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35" fillId="6" borderId="21" xfId="1" applyBorder="1" applyAlignment="1">
      <alignment horizontal="center"/>
    </xf>
    <xf numFmtId="0" fontId="0" fillId="0" borderId="0" xfId="0" applyFont="1" applyFill="1" applyBorder="1" applyAlignment="1" applyProtection="1">
      <protection locked="0"/>
    </xf>
    <xf numFmtId="0" fontId="32" fillId="0" borderId="23" xfId="0" applyFont="1" applyBorder="1" applyAlignment="1">
      <alignment horizontal="center"/>
    </xf>
    <xf numFmtId="0" fontId="32" fillId="0" borderId="24" xfId="0" applyFont="1" applyBorder="1" applyAlignment="1">
      <alignment horizontal="center"/>
    </xf>
    <xf numFmtId="0" fontId="32" fillId="0" borderId="23" xfId="0" applyFont="1" applyFill="1" applyBorder="1" applyAlignment="1">
      <alignment horizontal="center"/>
    </xf>
    <xf numFmtId="0" fontId="29" fillId="3" borderId="0" xfId="0" applyFont="1" applyFill="1" applyBorder="1" applyAlignment="1">
      <alignment vertical="top"/>
    </xf>
    <xf numFmtId="0" fontId="0" fillId="0" borderId="0" xfId="0" applyAlignment="1" applyProtection="1">
      <alignment textRotation="45"/>
      <protection locked="0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0" borderId="0" xfId="0" applyFill="1" applyBorder="1" applyProtection="1">
      <protection locked="0"/>
    </xf>
    <xf numFmtId="0" fontId="0" fillId="3" borderId="23" xfId="0" applyFont="1" applyFill="1" applyBorder="1" applyAlignment="1" applyProtection="1">
      <protection locked="0"/>
    </xf>
    <xf numFmtId="0" fontId="1" fillId="0" borderId="0" xfId="0" applyFont="1" applyAlignment="1" applyProtection="1"/>
    <xf numFmtId="0" fontId="17" fillId="7" borderId="0" xfId="0" applyFont="1" applyFill="1" applyBorder="1" applyAlignment="1" applyProtection="1">
      <alignment horizontal="center" textRotation="90"/>
    </xf>
    <xf numFmtId="0" fontId="17" fillId="10" borderId="0" xfId="0" applyFont="1" applyFill="1" applyBorder="1" applyAlignment="1" applyProtection="1">
      <alignment horizontal="center" textRotation="90"/>
    </xf>
    <xf numFmtId="0" fontId="17" fillId="0" borderId="0" xfId="0" applyFont="1" applyFill="1" applyBorder="1" applyAlignment="1" applyProtection="1">
      <alignment horizontal="center" textRotation="90"/>
    </xf>
    <xf numFmtId="0" fontId="17" fillId="11" borderId="0" xfId="0" applyFont="1" applyFill="1" applyBorder="1" applyAlignment="1" applyProtection="1">
      <alignment horizontal="center" textRotation="90"/>
    </xf>
    <xf numFmtId="0" fontId="17" fillId="8" borderId="0" xfId="0" applyFont="1" applyFill="1" applyBorder="1" applyAlignment="1" applyProtection="1">
      <alignment horizontal="center" textRotation="90"/>
    </xf>
    <xf numFmtId="0" fontId="17" fillId="9" borderId="0" xfId="0" applyFont="1" applyFill="1" applyBorder="1" applyAlignment="1" applyProtection="1">
      <alignment horizontal="center" textRotation="90"/>
    </xf>
    <xf numFmtId="0" fontId="1" fillId="0" borderId="0" xfId="0" applyFont="1" applyAlignment="1" applyProtection="1">
      <alignment textRotation="90"/>
    </xf>
    <xf numFmtId="0" fontId="0" fillId="4" borderId="0" xfId="0" applyFill="1" applyProtection="1"/>
    <xf numFmtId="0" fontId="37" fillId="2" borderId="0" xfId="0" applyFont="1" applyFill="1" applyAlignment="1" applyProtection="1">
      <alignment horizontal="right"/>
      <protection locked="0"/>
    </xf>
    <xf numFmtId="0" fontId="42" fillId="0" borderId="0" xfId="0" applyFont="1"/>
    <xf numFmtId="0" fontId="34" fillId="4" borderId="0" xfId="0" applyFont="1" applyFill="1"/>
    <xf numFmtId="0" fontId="34" fillId="4" borderId="0" xfId="0" applyFont="1" applyFill="1" applyAlignment="1">
      <alignment horizontal="center"/>
    </xf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0" xfId="0" applyFont="1"/>
    <xf numFmtId="0" fontId="39" fillId="0" borderId="0" xfId="0" applyFont="1"/>
    <xf numFmtId="0" fontId="22" fillId="0" borderId="0" xfId="0" applyFont="1" applyAlignment="1">
      <alignment horizontal="center"/>
    </xf>
    <xf numFmtId="0" fontId="21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0" fillId="0" borderId="26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Protection="1"/>
    <xf numFmtId="0" fontId="43" fillId="0" borderId="0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12" fillId="5" borderId="16" xfId="0" applyFont="1" applyFill="1" applyBorder="1" applyAlignment="1" applyProtection="1">
      <alignment horizontal="center" vertical="center"/>
      <protection locked="0"/>
    </xf>
    <xf numFmtId="0" fontId="12" fillId="5" borderId="18" xfId="0" applyFont="1" applyFill="1" applyBorder="1" applyAlignment="1" applyProtection="1">
      <alignment horizontal="center" vertical="center"/>
      <protection locked="0"/>
    </xf>
    <xf numFmtId="0" fontId="23" fillId="3" borderId="23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left"/>
    </xf>
    <xf numFmtId="0" fontId="23" fillId="3" borderId="0" xfId="0" applyFont="1" applyFill="1" applyBorder="1" applyAlignment="1" applyProtection="1">
      <alignment horizontal="left"/>
      <protection locked="0"/>
    </xf>
    <xf numFmtId="0" fontId="23" fillId="3" borderId="26" xfId="0" applyFont="1" applyFill="1" applyBorder="1" applyAlignment="1" applyProtection="1">
      <alignment horizontal="left"/>
      <protection locked="0"/>
    </xf>
    <xf numFmtId="0" fontId="23" fillId="3" borderId="25" xfId="0" applyFont="1" applyFill="1" applyBorder="1" applyAlignment="1" applyProtection="1">
      <alignment horizontal="left"/>
      <protection locked="0"/>
    </xf>
    <xf numFmtId="0" fontId="16" fillId="3" borderId="6" xfId="0" applyFont="1" applyFill="1" applyBorder="1" applyAlignment="1" applyProtection="1">
      <alignment horizontal="center" vertical="center"/>
      <protection locked="0"/>
    </xf>
    <xf numFmtId="0" fontId="16" fillId="3" borderId="8" xfId="0" applyFont="1" applyFill="1" applyBorder="1" applyAlignment="1" applyProtection="1">
      <alignment horizontal="center" vertical="center"/>
      <protection locked="0"/>
    </xf>
    <xf numFmtId="0" fontId="16" fillId="3" borderId="11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right"/>
    </xf>
    <xf numFmtId="0" fontId="4" fillId="3" borderId="5" xfId="0" applyFont="1" applyFill="1" applyBorder="1" applyAlignment="1">
      <alignment horizontal="right"/>
    </xf>
    <xf numFmtId="0" fontId="28" fillId="3" borderId="0" xfId="0" applyFont="1" applyFill="1" applyBorder="1" applyAlignment="1">
      <alignment horizontal="right"/>
    </xf>
    <xf numFmtId="0" fontId="27" fillId="3" borderId="0" xfId="0" applyFont="1" applyFill="1" applyBorder="1" applyAlignment="1">
      <alignment horizontal="left"/>
    </xf>
    <xf numFmtId="0" fontId="27" fillId="3" borderId="26" xfId="0" applyFont="1" applyFill="1" applyBorder="1" applyAlignment="1">
      <alignment horizontal="left"/>
    </xf>
    <xf numFmtId="0" fontId="38" fillId="4" borderId="0" xfId="0" applyFont="1" applyFill="1" applyBorder="1" applyAlignment="1">
      <alignment horizontal="center" vertical="center"/>
    </xf>
    <xf numFmtId="0" fontId="38" fillId="4" borderId="20" xfId="0" applyFont="1" applyFill="1" applyBorder="1" applyAlignment="1">
      <alignment horizontal="center" vertical="center"/>
    </xf>
    <xf numFmtId="0" fontId="38" fillId="4" borderId="26" xfId="0" applyFont="1" applyFill="1" applyBorder="1" applyAlignment="1">
      <alignment horizontal="center" vertical="center"/>
    </xf>
    <xf numFmtId="0" fontId="38" fillId="4" borderId="21" xfId="0" applyFont="1" applyFill="1" applyBorder="1" applyAlignment="1">
      <alignment horizontal="center" vertical="center"/>
    </xf>
    <xf numFmtId="3" fontId="31" fillId="4" borderId="10" xfId="0" applyNumberFormat="1" applyFont="1" applyFill="1" applyBorder="1" applyAlignment="1" applyProtection="1">
      <alignment horizontal="center"/>
      <protection locked="0"/>
    </xf>
    <xf numFmtId="3" fontId="31" fillId="4" borderId="0" xfId="0" applyNumberFormat="1" applyFont="1" applyFill="1" applyBorder="1" applyAlignment="1" applyProtection="1">
      <alignment horizontal="center"/>
      <protection locked="0"/>
    </xf>
    <xf numFmtId="3" fontId="31" fillId="4" borderId="12" xfId="0" applyNumberFormat="1" applyFont="1" applyFill="1" applyBorder="1" applyAlignment="1" applyProtection="1">
      <alignment horizontal="center"/>
      <protection locked="0"/>
    </xf>
    <xf numFmtId="3" fontId="31" fillId="4" borderId="8" xfId="0" applyNumberFormat="1" applyFont="1" applyFill="1" applyBorder="1" applyAlignment="1" applyProtection="1">
      <alignment horizontal="center"/>
      <protection locked="0"/>
    </xf>
    <xf numFmtId="3" fontId="31" fillId="4" borderId="5" xfId="0" applyNumberFormat="1" applyFont="1" applyFill="1" applyBorder="1" applyAlignment="1" applyProtection="1">
      <alignment horizontal="center"/>
      <protection locked="0"/>
    </xf>
    <xf numFmtId="3" fontId="31" fillId="4" borderId="9" xfId="0" applyNumberFormat="1" applyFont="1" applyFill="1" applyBorder="1" applyAlignment="1" applyProtection="1">
      <alignment horizontal="center"/>
      <protection locked="0"/>
    </xf>
    <xf numFmtId="0" fontId="38" fillId="3" borderId="0" xfId="0" applyFont="1" applyFill="1" applyBorder="1" applyAlignment="1" applyProtection="1">
      <alignment horizontal="center" vertical="center"/>
      <protection locked="0"/>
    </xf>
    <xf numFmtId="0" fontId="38" fillId="4" borderId="20" xfId="0" applyFont="1" applyFill="1" applyBorder="1" applyAlignment="1" applyProtection="1">
      <alignment horizontal="center" vertical="center"/>
    </xf>
    <xf numFmtId="0" fontId="38" fillId="4" borderId="21" xfId="0" applyFont="1" applyFill="1" applyBorder="1" applyAlignment="1" applyProtection="1">
      <alignment horizontal="center" vertical="center"/>
    </xf>
    <xf numFmtId="0" fontId="38" fillId="4" borderId="23" xfId="0" applyFont="1" applyFill="1" applyBorder="1" applyAlignment="1" applyProtection="1">
      <alignment horizontal="center" vertical="center"/>
    </xf>
    <xf numFmtId="0" fontId="38" fillId="4" borderId="24" xfId="0" applyFont="1" applyFill="1" applyBorder="1" applyAlignment="1" applyProtection="1">
      <alignment horizontal="center" vertical="center"/>
    </xf>
    <xf numFmtId="0" fontId="20" fillId="3" borderId="22" xfId="0" applyFont="1" applyFill="1" applyBorder="1" applyAlignment="1" applyProtection="1">
      <alignment horizontal="center" vertical="center"/>
      <protection locked="0"/>
    </xf>
    <xf numFmtId="0" fontId="20" fillId="3" borderId="19" xfId="0" applyFont="1" applyFill="1" applyBorder="1" applyAlignment="1" applyProtection="1">
      <alignment horizontal="center" vertical="center"/>
      <protection locked="0"/>
    </xf>
    <xf numFmtId="0" fontId="20" fillId="3" borderId="25" xfId="0" applyFont="1" applyFill="1" applyBorder="1" applyAlignment="1">
      <alignment horizontal="center"/>
    </xf>
    <xf numFmtId="0" fontId="20" fillId="3" borderId="19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3" fontId="31" fillId="0" borderId="10" xfId="0" applyNumberFormat="1" applyFont="1" applyFill="1" applyBorder="1" applyAlignment="1" applyProtection="1">
      <alignment horizontal="center"/>
      <protection locked="0"/>
    </xf>
    <xf numFmtId="3" fontId="31" fillId="0" borderId="0" xfId="0" applyNumberFormat="1" applyFont="1" applyFill="1" applyBorder="1" applyAlignment="1" applyProtection="1">
      <alignment horizontal="center"/>
      <protection locked="0"/>
    </xf>
    <xf numFmtId="3" fontId="31" fillId="0" borderId="12" xfId="0" applyNumberFormat="1" applyFont="1" applyFill="1" applyBorder="1" applyAlignment="1" applyProtection="1">
      <alignment horizontal="center"/>
      <protection locked="0"/>
    </xf>
    <xf numFmtId="3" fontId="31" fillId="0" borderId="8" xfId="0" applyNumberFormat="1" applyFont="1" applyFill="1" applyBorder="1" applyAlignment="1" applyProtection="1">
      <alignment horizontal="center"/>
      <protection locked="0"/>
    </xf>
    <xf numFmtId="3" fontId="31" fillId="0" borderId="5" xfId="0" applyNumberFormat="1" applyFont="1" applyFill="1" applyBorder="1" applyAlignment="1" applyProtection="1">
      <alignment horizontal="center"/>
      <protection locked="0"/>
    </xf>
    <xf numFmtId="3" fontId="31" fillId="0" borderId="9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Alignment="1" applyProtection="1">
      <alignment horizontal="center"/>
      <protection locked="0"/>
    </xf>
    <xf numFmtId="0" fontId="5" fillId="3" borderId="11" xfId="0" applyFont="1" applyFill="1" applyBorder="1" applyAlignment="1" applyProtection="1">
      <alignment horizontal="center"/>
      <protection locked="0"/>
    </xf>
    <xf numFmtId="0" fontId="5" fillId="3" borderId="10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 applyProtection="1">
      <alignment horizontal="center"/>
      <protection locked="0"/>
    </xf>
    <xf numFmtId="0" fontId="5" fillId="3" borderId="11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0" fontId="5" fillId="3" borderId="7" xfId="0" applyFont="1" applyFill="1" applyBorder="1" applyAlignment="1">
      <alignment horizontal="left"/>
    </xf>
    <xf numFmtId="0" fontId="5" fillId="3" borderId="12" xfId="0" applyFont="1" applyFill="1" applyBorder="1" applyAlignment="1">
      <alignment horizontal="left"/>
    </xf>
    <xf numFmtId="0" fontId="5" fillId="3" borderId="8" xfId="0" applyFont="1" applyFill="1" applyBorder="1" applyAlignment="1" applyProtection="1">
      <alignment horizontal="center"/>
      <protection locked="0"/>
    </xf>
    <xf numFmtId="0" fontId="5" fillId="3" borderId="5" xfId="0" applyFont="1" applyFill="1" applyBorder="1" applyAlignment="1" applyProtection="1">
      <alignment horizontal="center"/>
      <protection locked="0"/>
    </xf>
    <xf numFmtId="0" fontId="5" fillId="3" borderId="5" xfId="0" applyFont="1" applyFill="1" applyBorder="1" applyAlignment="1">
      <alignment horizontal="left"/>
    </xf>
    <xf numFmtId="0" fontId="5" fillId="3" borderId="9" xfId="0" applyFont="1" applyFill="1" applyBorder="1" applyAlignment="1">
      <alignment horizontal="left"/>
    </xf>
    <xf numFmtId="0" fontId="34" fillId="3" borderId="10" xfId="0" applyFont="1" applyFill="1" applyBorder="1" applyAlignment="1">
      <alignment horizontal="right"/>
    </xf>
    <xf numFmtId="0" fontId="34" fillId="3" borderId="0" xfId="0" applyFont="1" applyFill="1" applyBorder="1" applyAlignment="1">
      <alignment horizontal="right"/>
    </xf>
    <xf numFmtId="1" fontId="23" fillId="4" borderId="0" xfId="0" applyNumberFormat="1" applyFont="1" applyFill="1" applyBorder="1" applyAlignment="1">
      <alignment horizontal="center"/>
    </xf>
    <xf numFmtId="1" fontId="23" fillId="4" borderId="26" xfId="0" applyNumberFormat="1" applyFont="1" applyFill="1" applyBorder="1" applyAlignment="1">
      <alignment horizontal="center"/>
    </xf>
    <xf numFmtId="1" fontId="23" fillId="4" borderId="25" xfId="0" applyNumberFormat="1" applyFont="1" applyFill="1" applyBorder="1" applyAlignment="1">
      <alignment horizontal="center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3" borderId="6" xfId="0" applyFont="1" applyFill="1" applyBorder="1" applyAlignment="1" applyProtection="1">
      <alignment horizontal="right" vertical="center"/>
      <protection locked="0"/>
    </xf>
    <xf numFmtId="0" fontId="5" fillId="3" borderId="8" xfId="0" applyFont="1" applyFill="1" applyBorder="1" applyAlignment="1" applyProtection="1">
      <alignment horizontal="right" vertical="center"/>
      <protection locked="0"/>
    </xf>
    <xf numFmtId="0" fontId="5" fillId="3" borderId="7" xfId="0" applyFont="1" applyFill="1" applyBorder="1" applyAlignment="1" applyProtection="1">
      <alignment horizontal="left" vertical="center"/>
      <protection locked="0"/>
    </xf>
    <xf numFmtId="0" fontId="5" fillId="3" borderId="9" xfId="0" applyFont="1" applyFill="1" applyBorder="1" applyAlignment="1" applyProtection="1">
      <alignment horizontal="left" vertical="center"/>
      <protection locked="0"/>
    </xf>
    <xf numFmtId="0" fontId="15" fillId="2" borderId="6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 applyProtection="1">
      <alignment horizontal="center" vertical="center"/>
      <protection locked="0"/>
    </xf>
    <xf numFmtId="0" fontId="5" fillId="5" borderId="7" xfId="0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center" vertical="center"/>
      <protection locked="0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13" fillId="2" borderId="8" xfId="0" applyFont="1" applyFill="1" applyBorder="1" applyAlignment="1">
      <alignment horizontal="center"/>
    </xf>
    <xf numFmtId="0" fontId="13" fillId="2" borderId="5" xfId="0" applyFont="1" applyFill="1" applyBorder="1" applyAlignment="1">
      <alignment horizontal="center"/>
    </xf>
    <xf numFmtId="0" fontId="13" fillId="2" borderId="9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16" fillId="5" borderId="6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/>
    </xf>
    <xf numFmtId="0" fontId="13" fillId="2" borderId="14" xfId="0" applyFont="1" applyFill="1" applyBorder="1" applyAlignment="1">
      <alignment horizontal="center"/>
    </xf>
    <xf numFmtId="0" fontId="5" fillId="0" borderId="6" xfId="0" quotePrefix="1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0" fontId="16" fillId="0" borderId="6" xfId="0" applyFont="1" applyBorder="1" applyAlignment="1" applyProtection="1">
      <alignment horizontal="left" vertical="center"/>
      <protection locked="0"/>
    </xf>
    <xf numFmtId="0" fontId="16" fillId="0" borderId="11" xfId="0" applyFont="1" applyBorder="1" applyAlignment="1" applyProtection="1">
      <alignment horizontal="left" vertical="center"/>
      <protection locked="0"/>
    </xf>
    <xf numFmtId="0" fontId="16" fillId="0" borderId="7" xfId="0" applyFont="1" applyBorder="1" applyAlignment="1" applyProtection="1">
      <alignment horizontal="left" vertical="center"/>
      <protection locked="0"/>
    </xf>
    <xf numFmtId="0" fontId="16" fillId="0" borderId="8" xfId="0" applyFont="1" applyBorder="1" applyAlignment="1" applyProtection="1">
      <alignment horizontal="left" vertical="center"/>
      <protection locked="0"/>
    </xf>
    <xf numFmtId="0" fontId="16" fillId="0" borderId="5" xfId="0" applyFont="1" applyBorder="1" applyAlignment="1" applyProtection="1">
      <alignment horizontal="left" vertical="center"/>
      <protection locked="0"/>
    </xf>
    <xf numFmtId="0" fontId="16" fillId="0" borderId="9" xfId="0" applyFont="1" applyBorder="1" applyAlignment="1" applyProtection="1">
      <alignment horizontal="left" vertical="center"/>
      <protection locked="0"/>
    </xf>
    <xf numFmtId="0" fontId="5" fillId="0" borderId="6" xfId="0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 applyProtection="1">
      <alignment horizontal="left" vertical="center"/>
      <protection locked="0"/>
    </xf>
    <xf numFmtId="0" fontId="5" fillId="0" borderId="7" xfId="0" applyFont="1" applyBorder="1" applyAlignment="1" applyProtection="1">
      <alignment horizontal="left" vertical="center"/>
      <protection locked="0"/>
    </xf>
    <xf numFmtId="0" fontId="5" fillId="0" borderId="8" xfId="0" applyFont="1" applyBorder="1" applyAlignment="1" applyProtection="1">
      <alignment horizontal="left" vertical="center"/>
      <protection locked="0"/>
    </xf>
    <xf numFmtId="0" fontId="5" fillId="0" borderId="5" xfId="0" applyFont="1" applyBorder="1" applyAlignment="1" applyProtection="1">
      <alignment horizontal="left" vertical="center"/>
      <protection locked="0"/>
    </xf>
    <xf numFmtId="0" fontId="5" fillId="0" borderId="9" xfId="0" applyFont="1" applyBorder="1" applyAlignment="1" applyProtection="1">
      <alignment horizontal="left" vertical="center"/>
      <protection locked="0"/>
    </xf>
    <xf numFmtId="0" fontId="12" fillId="4" borderId="6" xfId="0" applyFont="1" applyFill="1" applyBorder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5" fillId="0" borderId="3" xfId="0" quotePrefix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4" fillId="3" borderId="10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Alignment="1" applyProtection="1">
      <alignment horizontal="center"/>
      <protection locked="0"/>
    </xf>
    <xf numFmtId="0" fontId="4" fillId="3" borderId="12" xfId="0" applyFont="1" applyFill="1" applyBorder="1" applyAlignment="1" applyProtection="1">
      <alignment horizontal="center"/>
      <protection locked="0"/>
    </xf>
    <xf numFmtId="0" fontId="4" fillId="3" borderId="8" xfId="0" applyFont="1" applyFill="1" applyBorder="1" applyAlignment="1" applyProtection="1">
      <alignment horizontal="center"/>
      <protection locked="0"/>
    </xf>
    <xf numFmtId="0" fontId="4" fillId="3" borderId="5" xfId="0" applyFont="1" applyFill="1" applyBorder="1" applyAlignment="1" applyProtection="1">
      <alignment horizontal="center"/>
      <protection locked="0"/>
    </xf>
    <xf numFmtId="0" fontId="4" fillId="3" borderId="9" xfId="0" applyFont="1" applyFill="1" applyBorder="1" applyAlignment="1" applyProtection="1">
      <alignment horizontal="center"/>
      <protection locked="0"/>
    </xf>
    <xf numFmtId="0" fontId="4" fillId="3" borderId="6" xfId="0" applyFont="1" applyFill="1" applyBorder="1" applyAlignment="1" applyProtection="1">
      <alignment horizontal="center"/>
      <protection locked="0"/>
    </xf>
    <xf numFmtId="0" fontId="4" fillId="3" borderId="11" xfId="0" applyFont="1" applyFill="1" applyBorder="1" applyAlignment="1" applyProtection="1">
      <alignment horizontal="center"/>
      <protection locked="0"/>
    </xf>
    <xf numFmtId="0" fontId="21" fillId="2" borderId="6" xfId="0" applyFont="1" applyFill="1" applyBorder="1" applyAlignment="1">
      <alignment horizontal="center" vertical="center"/>
    </xf>
    <xf numFmtId="0" fontId="21" fillId="2" borderId="11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4" borderId="2" xfId="0" applyFont="1" applyFill="1" applyBorder="1" applyAlignment="1" applyProtection="1">
      <alignment horizontal="center" vertical="center"/>
    </xf>
    <xf numFmtId="0" fontId="12" fillId="4" borderId="3" xfId="0" applyFont="1" applyFill="1" applyBorder="1" applyAlignment="1" applyProtection="1">
      <alignment horizontal="center" vertical="center"/>
    </xf>
    <xf numFmtId="0" fontId="12" fillId="4" borderId="4" xfId="0" applyFont="1" applyFill="1" applyBorder="1" applyAlignment="1" applyProtection="1">
      <alignment horizontal="center" vertical="center"/>
    </xf>
    <xf numFmtId="0" fontId="26" fillId="0" borderId="3" xfId="0" quotePrefix="1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12" fillId="0" borderId="2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2" borderId="8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3" fontId="5" fillId="4" borderId="2" xfId="0" applyNumberFormat="1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top"/>
      <protection locked="0"/>
    </xf>
    <xf numFmtId="0" fontId="4" fillId="3" borderId="11" xfId="0" applyFont="1" applyFill="1" applyBorder="1" applyAlignment="1" applyProtection="1">
      <alignment horizontal="left" vertical="top"/>
      <protection locked="0"/>
    </xf>
    <xf numFmtId="0" fontId="16" fillId="5" borderId="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/>
    </xf>
    <xf numFmtId="3" fontId="12" fillId="4" borderId="2" xfId="0" applyNumberFormat="1" applyFont="1" applyFill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23" fillId="3" borderId="0" xfId="0" applyFont="1" applyFill="1" applyAlignment="1">
      <alignment horizontal="left"/>
    </xf>
    <xf numFmtId="0" fontId="5" fillId="4" borderId="0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22" fillId="3" borderId="0" xfId="0" applyFont="1" applyFill="1" applyBorder="1" applyAlignment="1" applyProtection="1">
      <alignment horizontal="left"/>
      <protection locked="0"/>
    </xf>
    <xf numFmtId="0" fontId="22" fillId="3" borderId="26" xfId="0" applyFont="1" applyFill="1" applyBorder="1" applyAlignment="1" applyProtection="1">
      <alignment horizontal="left"/>
      <protection locked="0"/>
    </xf>
    <xf numFmtId="0" fontId="23" fillId="3" borderId="0" xfId="0" applyFont="1" applyFill="1" applyBorder="1" applyAlignment="1" applyProtection="1">
      <alignment horizontal="center"/>
      <protection locked="0"/>
    </xf>
    <xf numFmtId="0" fontId="23" fillId="3" borderId="26" xfId="0" applyFont="1" applyFill="1" applyBorder="1" applyAlignment="1" applyProtection="1">
      <alignment horizontal="center"/>
      <protection locked="0"/>
    </xf>
    <xf numFmtId="0" fontId="23" fillId="3" borderId="0" xfId="0" applyFont="1" applyFill="1" applyAlignment="1">
      <alignment horizontal="center"/>
    </xf>
    <xf numFmtId="0" fontId="16" fillId="4" borderId="0" xfId="0" applyFont="1" applyFill="1" applyBorder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6" xfId="0" applyFont="1" applyFill="1" applyBorder="1" applyAlignment="1" applyProtection="1">
      <alignment horizontal="center"/>
      <protection locked="0"/>
    </xf>
    <xf numFmtId="0" fontId="24" fillId="3" borderId="0" xfId="0" quotePrefix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" fillId="4" borderId="0" xfId="0" applyFont="1" applyFill="1" applyBorder="1" applyAlignment="1" applyProtection="1">
      <alignment horizontal="center"/>
    </xf>
    <xf numFmtId="0" fontId="5" fillId="4" borderId="26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/>
      <protection locked="0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 applyProtection="1">
      <alignment horizontal="left" vertical="center"/>
      <protection locked="0"/>
    </xf>
    <xf numFmtId="0" fontId="5" fillId="0" borderId="11" xfId="0" applyFont="1" applyFill="1" applyBorder="1" applyAlignment="1" applyProtection="1">
      <alignment horizontal="left" vertical="center"/>
      <protection locked="0"/>
    </xf>
    <xf numFmtId="0" fontId="5" fillId="0" borderId="7" xfId="0" applyFont="1" applyFill="1" applyBorder="1" applyAlignment="1" applyProtection="1">
      <alignment horizontal="left" vertical="center"/>
      <protection locked="0"/>
    </xf>
    <xf numFmtId="0" fontId="5" fillId="0" borderId="8" xfId="0" applyFont="1" applyFill="1" applyBorder="1" applyAlignment="1" applyProtection="1">
      <alignment horizontal="left" vertical="center"/>
      <protection locked="0"/>
    </xf>
    <xf numFmtId="0" fontId="5" fillId="0" borderId="5" xfId="0" applyFont="1" applyFill="1" applyBorder="1" applyAlignment="1" applyProtection="1">
      <alignment horizontal="left" vertical="center"/>
      <protection locked="0"/>
    </xf>
    <xf numFmtId="0" fontId="5" fillId="0" borderId="9" xfId="0" applyFont="1" applyFill="1" applyBorder="1" applyAlignment="1" applyProtection="1">
      <alignment horizontal="left" vertical="center"/>
      <protection locked="0"/>
    </xf>
    <xf numFmtId="0" fontId="20" fillId="3" borderId="23" xfId="0" applyFont="1" applyFill="1" applyBorder="1" applyAlignment="1" applyProtection="1">
      <alignment horizontal="center"/>
      <protection locked="0"/>
    </xf>
    <xf numFmtId="0" fontId="20" fillId="3" borderId="0" xfId="0" applyFont="1" applyFill="1" applyBorder="1" applyAlignment="1" applyProtection="1">
      <alignment horizontal="center"/>
      <protection locked="0"/>
    </xf>
    <xf numFmtId="0" fontId="20" fillId="3" borderId="20" xfId="0" applyFont="1" applyFill="1" applyBorder="1" applyAlignment="1" applyProtection="1">
      <alignment horizontal="center"/>
      <protection locked="0"/>
    </xf>
    <xf numFmtId="0" fontId="10" fillId="2" borderId="8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left"/>
    </xf>
    <xf numFmtId="0" fontId="20" fillId="3" borderId="0" xfId="0" applyFont="1" applyFill="1" applyBorder="1" applyAlignment="1" applyProtection="1">
      <alignment horizontal="left"/>
      <protection locked="0"/>
    </xf>
    <xf numFmtId="0" fontId="20" fillId="3" borderId="26" xfId="0" applyFont="1" applyFill="1" applyBorder="1" applyAlignment="1" applyProtection="1">
      <alignment horizontal="left"/>
      <protection locked="0"/>
    </xf>
    <xf numFmtId="0" fontId="41" fillId="3" borderId="0" xfId="2" applyFont="1" applyFill="1" applyBorder="1" applyAlignment="1" applyProtection="1">
      <alignment horizontal="left"/>
      <protection locked="0"/>
    </xf>
    <xf numFmtId="0" fontId="41" fillId="3" borderId="26" xfId="2" applyFont="1" applyFill="1" applyBorder="1" applyAlignment="1" applyProtection="1">
      <alignment horizontal="left"/>
      <protection locked="0"/>
    </xf>
    <xf numFmtId="0" fontId="20" fillId="3" borderId="15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horizontal="center" vertical="center"/>
    </xf>
    <xf numFmtId="0" fontId="30" fillId="0" borderId="6" xfId="0" applyFont="1" applyFill="1" applyBorder="1" applyAlignment="1" applyProtection="1">
      <alignment horizontal="center" vertical="center"/>
      <protection locked="0"/>
    </xf>
    <xf numFmtId="0" fontId="30" fillId="0" borderId="11" xfId="0" applyFont="1" applyFill="1" applyBorder="1" applyAlignment="1" applyProtection="1">
      <alignment horizontal="center" vertical="center"/>
      <protection locked="0"/>
    </xf>
    <xf numFmtId="0" fontId="30" fillId="0" borderId="8" xfId="0" applyFont="1" applyFill="1" applyBorder="1" applyAlignment="1" applyProtection="1">
      <alignment horizontal="center" vertical="center"/>
      <protection locked="0"/>
    </xf>
    <xf numFmtId="0" fontId="30" fillId="0" borderId="5" xfId="0" applyFont="1" applyFill="1" applyBorder="1" applyAlignment="1" applyProtection="1">
      <alignment horizontal="center" vertical="center"/>
      <protection locked="0"/>
    </xf>
    <xf numFmtId="0" fontId="31" fillId="5" borderId="29" xfId="0" applyFont="1" applyFill="1" applyBorder="1" applyAlignment="1">
      <alignment horizontal="center" vertical="center"/>
    </xf>
    <xf numFmtId="0" fontId="31" fillId="5" borderId="11" xfId="0" applyFont="1" applyFill="1" applyBorder="1" applyAlignment="1">
      <alignment horizontal="center" vertical="center"/>
    </xf>
    <xf numFmtId="0" fontId="31" fillId="5" borderId="7" xfId="0" applyFont="1" applyFill="1" applyBorder="1" applyAlignment="1">
      <alignment horizontal="center" vertical="center"/>
    </xf>
    <xf numFmtId="0" fontId="31" fillId="5" borderId="30" xfId="0" applyFont="1" applyFill="1" applyBorder="1" applyAlignment="1">
      <alignment horizontal="center" vertical="center"/>
    </xf>
    <xf numFmtId="0" fontId="31" fillId="5" borderId="5" xfId="0" applyFont="1" applyFill="1" applyBorder="1" applyAlignment="1">
      <alignment horizontal="center" vertical="center"/>
    </xf>
    <xf numFmtId="0" fontId="31" fillId="5" borderId="9" xfId="0" applyFont="1" applyFill="1" applyBorder="1" applyAlignment="1">
      <alignment horizontal="center" vertical="center"/>
    </xf>
    <xf numFmtId="0" fontId="20" fillId="3" borderId="11" xfId="0" applyFont="1" applyFill="1" applyBorder="1" applyAlignment="1">
      <alignment horizontal="right"/>
    </xf>
    <xf numFmtId="0" fontId="20" fillId="3" borderId="11" xfId="0" applyFont="1" applyFill="1" applyBorder="1" applyAlignment="1">
      <alignment horizontal="center"/>
    </xf>
    <xf numFmtId="0" fontId="20" fillId="3" borderId="0" xfId="0" applyFont="1" applyFill="1" applyAlignment="1">
      <alignment horizontal="center"/>
    </xf>
    <xf numFmtId="0" fontId="30" fillId="3" borderId="6" xfId="0" applyFont="1" applyFill="1" applyBorder="1" applyAlignment="1" applyProtection="1">
      <alignment horizontal="center" vertical="center"/>
      <protection locked="0"/>
    </xf>
    <xf numFmtId="0" fontId="30" fillId="3" borderId="7" xfId="0" applyFont="1" applyFill="1" applyBorder="1" applyAlignment="1" applyProtection="1">
      <alignment horizontal="center" vertical="center"/>
      <protection locked="0"/>
    </xf>
    <xf numFmtId="0" fontId="30" fillId="3" borderId="8" xfId="0" applyFont="1" applyFill="1" applyBorder="1" applyAlignment="1" applyProtection="1">
      <alignment horizontal="center" vertical="center"/>
      <protection locked="0"/>
    </xf>
    <xf numFmtId="0" fontId="30" fillId="3" borderId="9" xfId="0" applyFont="1" applyFill="1" applyBorder="1" applyAlignment="1" applyProtection="1">
      <alignment horizontal="center" vertical="center"/>
      <protection locked="0"/>
    </xf>
    <xf numFmtId="0" fontId="20" fillId="3" borderId="6" xfId="0" applyFont="1" applyFill="1" applyBorder="1" applyAlignment="1" applyProtection="1">
      <alignment horizontal="center"/>
      <protection locked="0"/>
    </xf>
    <xf numFmtId="0" fontId="20" fillId="3" borderId="11" xfId="0" applyFont="1" applyFill="1" applyBorder="1" applyAlignment="1" applyProtection="1">
      <alignment horizontal="center"/>
      <protection locked="0"/>
    </xf>
    <xf numFmtId="0" fontId="20" fillId="3" borderId="7" xfId="0" applyFont="1" applyFill="1" applyBorder="1" applyAlignment="1" applyProtection="1">
      <alignment horizontal="center"/>
      <protection locked="0"/>
    </xf>
    <xf numFmtId="0" fontId="20" fillId="3" borderId="8" xfId="0" applyFont="1" applyFill="1" applyBorder="1" applyAlignment="1" applyProtection="1">
      <alignment horizontal="center"/>
      <protection locked="0"/>
    </xf>
    <xf numFmtId="0" fontId="20" fillId="3" borderId="5" xfId="0" applyFont="1" applyFill="1" applyBorder="1" applyAlignment="1" applyProtection="1">
      <alignment horizontal="center"/>
      <protection locked="0"/>
    </xf>
    <xf numFmtId="0" fontId="20" fillId="3" borderId="9" xfId="0" applyFont="1" applyFill="1" applyBorder="1" applyAlignment="1" applyProtection="1">
      <alignment horizontal="center"/>
      <protection locked="0"/>
    </xf>
    <xf numFmtId="0" fontId="20" fillId="0" borderId="11" xfId="0" applyFont="1" applyFill="1" applyBorder="1" applyAlignment="1">
      <alignment horizontal="center"/>
    </xf>
    <xf numFmtId="0" fontId="20" fillId="3" borderId="25" xfId="0" applyFont="1" applyFill="1" applyBorder="1" applyAlignment="1">
      <alignment horizontal="right" vertical="top"/>
    </xf>
    <xf numFmtId="0" fontId="20" fillId="3" borderId="19" xfId="0" applyFont="1" applyFill="1" applyBorder="1" applyAlignment="1">
      <alignment horizontal="right" vertical="top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top"/>
    </xf>
    <xf numFmtId="0" fontId="30" fillId="3" borderId="27" xfId="0" applyFont="1" applyFill="1" applyBorder="1" applyAlignment="1" applyProtection="1">
      <alignment horizontal="center" vertical="center"/>
      <protection locked="0"/>
    </xf>
    <xf numFmtId="0" fontId="30" fillId="3" borderId="28" xfId="0" applyFont="1" applyFill="1" applyBorder="1" applyAlignment="1" applyProtection="1">
      <alignment horizontal="center" vertical="center"/>
      <protection locked="0"/>
    </xf>
    <xf numFmtId="0" fontId="30" fillId="4" borderId="11" xfId="0" applyFont="1" applyFill="1" applyBorder="1" applyAlignment="1">
      <alignment horizontal="center"/>
    </xf>
    <xf numFmtId="0" fontId="30" fillId="4" borderId="7" xfId="0" applyFont="1" applyFill="1" applyBorder="1" applyAlignment="1">
      <alignment horizontal="center"/>
    </xf>
    <xf numFmtId="0" fontId="30" fillId="4" borderId="5" xfId="0" applyFont="1" applyFill="1" applyBorder="1" applyAlignment="1">
      <alignment horizontal="center"/>
    </xf>
    <xf numFmtId="0" fontId="30" fillId="4" borderId="9" xfId="0" applyFont="1" applyFill="1" applyBorder="1" applyAlignment="1">
      <alignment horizontal="center"/>
    </xf>
    <xf numFmtId="0" fontId="30" fillId="4" borderId="29" xfId="0" applyFont="1" applyFill="1" applyBorder="1" applyAlignment="1">
      <alignment horizontal="center"/>
    </xf>
    <xf numFmtId="0" fontId="30" fillId="4" borderId="3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6" fillId="0" borderId="6" xfId="0" applyFont="1" applyFill="1" applyBorder="1" applyAlignment="1" applyProtection="1">
      <alignment horizontal="right" vertical="center"/>
      <protection locked="0"/>
    </xf>
    <xf numFmtId="0" fontId="16" fillId="0" borderId="7" xfId="0" applyFont="1" applyFill="1" applyBorder="1" applyAlignment="1" applyProtection="1">
      <alignment horizontal="right" vertical="center"/>
      <protection locked="0"/>
    </xf>
    <xf numFmtId="0" fontId="16" fillId="0" borderId="8" xfId="0" applyFont="1" applyFill="1" applyBorder="1" applyAlignment="1" applyProtection="1">
      <alignment horizontal="right" vertical="center"/>
      <protection locked="0"/>
    </xf>
    <xf numFmtId="0" fontId="16" fillId="0" borderId="9" xfId="0" applyFont="1" applyFill="1" applyBorder="1" applyAlignment="1" applyProtection="1">
      <alignment horizontal="right" vertical="center"/>
      <protection locked="0"/>
    </xf>
    <xf numFmtId="0" fontId="4" fillId="3" borderId="11" xfId="0" applyFont="1" applyFill="1" applyBorder="1" applyAlignment="1">
      <alignment horizontal="right" vertical="top"/>
    </xf>
    <xf numFmtId="0" fontId="4" fillId="3" borderId="7" xfId="0" applyFont="1" applyFill="1" applyBorder="1" applyAlignment="1">
      <alignment horizontal="right" vertical="top"/>
    </xf>
    <xf numFmtId="0" fontId="25" fillId="4" borderId="2" xfId="0" applyFont="1" applyFill="1" applyBorder="1" applyAlignment="1">
      <alignment horizontal="center" vertical="center"/>
    </xf>
    <xf numFmtId="0" fontId="25" fillId="4" borderId="4" xfId="0" applyFont="1" applyFill="1" applyBorder="1" applyAlignment="1">
      <alignment horizontal="center" vertical="center"/>
    </xf>
    <xf numFmtId="9" fontId="25" fillId="4" borderId="2" xfId="0" applyNumberFormat="1" applyFont="1" applyFill="1" applyBorder="1" applyAlignment="1">
      <alignment horizontal="center" vertical="center"/>
    </xf>
    <xf numFmtId="9" fontId="25" fillId="4" borderId="4" xfId="0" applyNumberFormat="1" applyFont="1" applyFill="1" applyBorder="1" applyAlignment="1">
      <alignment horizontal="center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11" xfId="0" applyFont="1" applyFill="1" applyBorder="1" applyAlignment="1">
      <alignment horizontal="left" vertical="center"/>
    </xf>
    <xf numFmtId="0" fontId="21" fillId="2" borderId="8" xfId="0" applyFont="1" applyFill="1" applyBorder="1" applyAlignment="1">
      <alignment horizontal="left" vertical="center"/>
    </xf>
    <xf numFmtId="0" fontId="21" fillId="2" borderId="5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 applyProtection="1">
      <alignment horizontal="left" vertical="top"/>
      <protection locked="0"/>
    </xf>
    <xf numFmtId="0" fontId="4" fillId="3" borderId="0" xfId="0" applyFont="1" applyFill="1" applyBorder="1" applyAlignment="1" applyProtection="1">
      <alignment horizontal="left" vertical="top"/>
      <protection locked="0"/>
    </xf>
    <xf numFmtId="0" fontId="4" fillId="3" borderId="12" xfId="0" applyFont="1" applyFill="1" applyBorder="1" applyAlignment="1" applyProtection="1">
      <alignment horizontal="left" vertical="top"/>
      <protection locked="0"/>
    </xf>
    <xf numFmtId="0" fontId="4" fillId="3" borderId="8" xfId="0" applyFont="1" applyFill="1" applyBorder="1" applyAlignment="1" applyProtection="1">
      <alignment horizontal="left" vertical="top"/>
      <protection locked="0"/>
    </xf>
    <xf numFmtId="0" fontId="4" fillId="3" borderId="5" xfId="0" applyFont="1" applyFill="1" applyBorder="1" applyAlignment="1" applyProtection="1">
      <alignment horizontal="left" vertical="top"/>
      <protection locked="0"/>
    </xf>
    <xf numFmtId="0" fontId="4" fillId="3" borderId="9" xfId="0" applyFont="1" applyFill="1" applyBorder="1" applyAlignment="1" applyProtection="1">
      <alignment horizontal="left" vertical="top"/>
      <protection locked="0"/>
    </xf>
    <xf numFmtId="0" fontId="5" fillId="3" borderId="0" xfId="0" applyFont="1" applyFill="1" applyAlignment="1">
      <alignment horizontal="center"/>
    </xf>
    <xf numFmtId="0" fontId="38" fillId="0" borderId="0" xfId="0" applyFont="1" applyFill="1" applyBorder="1" applyAlignment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  <protection locked="0"/>
    </xf>
    <xf numFmtId="0" fontId="16" fillId="4" borderId="9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8" fillId="2" borderId="6" xfId="0" applyFont="1" applyFill="1" applyBorder="1" applyAlignment="1" applyProtection="1">
      <alignment horizontal="left" vertical="center"/>
      <protection locked="0"/>
    </xf>
    <xf numFmtId="0" fontId="8" fillId="2" borderId="11" xfId="0" applyFont="1" applyFill="1" applyBorder="1" applyAlignment="1" applyProtection="1">
      <alignment horizontal="left" vertical="center"/>
      <protection locked="0"/>
    </xf>
    <xf numFmtId="0" fontId="8" fillId="2" borderId="8" xfId="0" applyFont="1" applyFill="1" applyBorder="1" applyAlignment="1" applyProtection="1">
      <alignment horizontal="left" vertical="center"/>
      <protection locked="0"/>
    </xf>
    <xf numFmtId="0" fontId="8" fillId="2" borderId="5" xfId="0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left" vertical="center"/>
      <protection locked="0"/>
    </xf>
    <xf numFmtId="0" fontId="5" fillId="5" borderId="11" xfId="0" applyFont="1" applyFill="1" applyBorder="1" applyAlignment="1" applyProtection="1">
      <alignment horizontal="left" vertical="center"/>
      <protection locked="0"/>
    </xf>
    <xf numFmtId="0" fontId="5" fillId="5" borderId="7" xfId="0" applyFont="1" applyFill="1" applyBorder="1" applyAlignment="1" applyProtection="1">
      <alignment horizontal="left" vertical="center"/>
      <protection locked="0"/>
    </xf>
    <xf numFmtId="0" fontId="5" fillId="5" borderId="8" xfId="0" applyFont="1" applyFill="1" applyBorder="1" applyAlignment="1" applyProtection="1">
      <alignment horizontal="left" vertical="center"/>
      <protection locked="0"/>
    </xf>
    <xf numFmtId="0" fontId="5" fillId="5" borderId="5" xfId="0" applyFont="1" applyFill="1" applyBorder="1" applyAlignment="1" applyProtection="1">
      <alignment horizontal="left" vertical="center"/>
      <protection locked="0"/>
    </xf>
    <xf numFmtId="0" fontId="5" fillId="5" borderId="9" xfId="0" applyFont="1" applyFill="1" applyBorder="1" applyAlignment="1" applyProtection="1">
      <alignment horizontal="left" vertical="center"/>
      <protection locked="0"/>
    </xf>
    <xf numFmtId="0" fontId="1" fillId="3" borderId="22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9" xfId="0" applyFont="1" applyBorder="1" applyAlignment="1">
      <alignment horizontal="center" wrapText="1"/>
    </xf>
    <xf numFmtId="0" fontId="1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 wrapText="1"/>
    </xf>
    <xf numFmtId="0" fontId="1" fillId="0" borderId="0" xfId="0" applyFont="1" applyBorder="1" applyAlignment="1">
      <alignment horizontal="center" wrapText="1"/>
    </xf>
    <xf numFmtId="0" fontId="1" fillId="0" borderId="22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22" xfId="0" applyFont="1" applyBorder="1" applyAlignment="1">
      <alignment horizontal="center" wrapText="1"/>
    </xf>
    <xf numFmtId="0" fontId="1" fillId="0" borderId="23" xfId="0" applyFont="1" applyBorder="1" applyAlignment="1">
      <alignment horizontal="center" wrapText="1"/>
    </xf>
    <xf numFmtId="0" fontId="36" fillId="2" borderId="22" xfId="0" applyFont="1" applyFill="1" applyBorder="1" applyAlignment="1">
      <alignment horizontal="center"/>
    </xf>
    <xf numFmtId="0" fontId="36" fillId="2" borderId="25" xfId="0" applyFont="1" applyFill="1" applyBorder="1" applyAlignment="1">
      <alignment horizontal="center"/>
    </xf>
    <xf numFmtId="0" fontId="36" fillId="2" borderId="19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6" xfId="0" applyFont="1" applyBorder="1" applyAlignment="1">
      <alignment horizontal="center" wrapText="1"/>
    </xf>
  </cellXfs>
  <cellStyles count="3">
    <cellStyle name="Bad" xfId="1" builtinId="27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A16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104775</xdr:colOff>
          <xdr:row>5</xdr:row>
          <xdr:rowOff>28575</xdr:rowOff>
        </xdr:from>
        <xdr:to>
          <xdr:col>30</xdr:col>
          <xdr:colOff>190500</xdr:colOff>
          <xdr:row>8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Class Skills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tonymia/Documents/Spellen/Pathfinder/Asterea/Character%20sheet%20Tari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  <sheetName val="Gear"/>
      <sheetName val="Feats&amp;Traits"/>
      <sheetName val="Growth"/>
      <sheetName val="Fibonacci89"/>
      <sheetName val="AC"/>
    </sheetNames>
    <sheetDataSet>
      <sheetData sheetId="0" refreshError="1"/>
      <sheetData sheetId="1" refreshError="1"/>
      <sheetData sheetId="2">
        <row r="2">
          <cell r="I2">
            <v>0</v>
          </cell>
          <cell r="J2">
            <v>0</v>
          </cell>
          <cell r="K2">
            <v>0</v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C128"/>
  <sheetViews>
    <sheetView topLeftCell="A70" zoomScale="55" zoomScaleNormal="55" workbookViewId="0">
      <selection activeCell="AL66" sqref="AL66"/>
    </sheetView>
  </sheetViews>
  <sheetFormatPr defaultColWidth="9.140625" defaultRowHeight="13.5" customHeight="1"/>
  <cols>
    <col min="1" max="1" width="0.5703125" style="2" customWidth="1"/>
    <col min="2" max="2" width="14.28515625" style="2" customWidth="1"/>
    <col min="3" max="11" width="11.42578125" style="2" customWidth="1"/>
    <col min="12" max="12" width="2.5703125" style="2" customWidth="1"/>
    <col min="13" max="13" width="5.140625" style="2" customWidth="1"/>
    <col min="14" max="14" width="14.28515625" style="2" customWidth="1"/>
    <col min="15" max="15" width="18" style="2" customWidth="1"/>
    <col min="16" max="16" width="1.28515625" style="2" customWidth="1"/>
    <col min="17" max="17" width="10" style="2" bestFit="1" customWidth="1"/>
    <col min="18" max="18" width="1.28515625" style="2" customWidth="1"/>
    <col min="19" max="19" width="9.140625" style="2"/>
    <col min="20" max="20" width="1.28515625" style="2" customWidth="1"/>
    <col min="21" max="21" width="9.140625" style="2" customWidth="1"/>
    <col min="22" max="22" width="2.5703125" style="2" customWidth="1"/>
    <col min="23" max="23" width="9.140625" style="2"/>
    <col min="24" max="24" width="2.5703125" style="2" customWidth="1"/>
    <col min="25" max="25" width="17.42578125" style="2" bestFit="1" customWidth="1"/>
    <col min="26" max="16384" width="9.140625" style="2"/>
  </cols>
  <sheetData>
    <row r="1" spans="2:25" ht="2.25" customHeight="1" thickBot="1"/>
    <row r="2" spans="2:25" ht="13.5" customHeight="1">
      <c r="B2" s="294" t="s">
        <v>383</v>
      </c>
      <c r="C2" s="296"/>
      <c r="D2" s="294" t="s">
        <v>385</v>
      </c>
      <c r="E2" s="296"/>
      <c r="F2" s="294" t="s">
        <v>386</v>
      </c>
      <c r="G2" s="295"/>
      <c r="H2" s="296"/>
      <c r="I2" s="227" t="s">
        <v>387</v>
      </c>
      <c r="J2" s="229">
        <v>154</v>
      </c>
      <c r="K2" s="231" t="s">
        <v>143</v>
      </c>
      <c r="M2" s="367"/>
      <c r="N2" s="368"/>
      <c r="O2" s="368"/>
      <c r="P2" s="368"/>
      <c r="Q2" s="368"/>
      <c r="R2" s="369"/>
      <c r="S2" s="367"/>
      <c r="T2" s="368"/>
      <c r="U2" s="368"/>
      <c r="V2" s="369"/>
      <c r="W2" s="361"/>
      <c r="X2" s="362"/>
      <c r="Y2" s="363"/>
    </row>
    <row r="3" spans="2:25" ht="13.5" customHeight="1" thickBot="1">
      <c r="B3" s="297"/>
      <c r="C3" s="299"/>
      <c r="D3" s="297"/>
      <c r="E3" s="299"/>
      <c r="F3" s="297"/>
      <c r="G3" s="298"/>
      <c r="H3" s="299"/>
      <c r="I3" s="228"/>
      <c r="J3" s="230"/>
      <c r="K3" s="232"/>
      <c r="M3" s="370"/>
      <c r="N3" s="371"/>
      <c r="O3" s="371"/>
      <c r="P3" s="371"/>
      <c r="Q3" s="371"/>
      <c r="R3" s="372"/>
      <c r="S3" s="370"/>
      <c r="T3" s="371"/>
      <c r="U3" s="371"/>
      <c r="V3" s="372"/>
      <c r="W3" s="364"/>
      <c r="X3" s="365"/>
      <c r="Y3" s="366"/>
    </row>
    <row r="4" spans="2:25" ht="13.5" customHeight="1" thickBot="1">
      <c r="B4" s="16" t="s">
        <v>0</v>
      </c>
      <c r="C4" s="45"/>
      <c r="D4" s="46" t="s">
        <v>15</v>
      </c>
      <c r="E4" s="45"/>
      <c r="F4" s="45" t="s">
        <v>16</v>
      </c>
      <c r="G4" s="45"/>
      <c r="H4" s="45"/>
      <c r="I4" s="18" t="s">
        <v>141</v>
      </c>
      <c r="J4" s="418" t="s">
        <v>142</v>
      </c>
      <c r="K4" s="418"/>
      <c r="M4" s="2" t="s">
        <v>17</v>
      </c>
      <c r="S4" s="2" t="s">
        <v>144</v>
      </c>
      <c r="W4" s="40" t="s">
        <v>145</v>
      </c>
      <c r="X4" s="40"/>
      <c r="Y4" s="40"/>
    </row>
    <row r="5" spans="2:25" ht="13.5" customHeight="1">
      <c r="B5" s="294" t="s">
        <v>384</v>
      </c>
      <c r="C5" s="296"/>
      <c r="D5" s="335">
        <v>1</v>
      </c>
      <c r="E5" s="240" t="s">
        <v>121</v>
      </c>
      <c r="F5" s="294" t="s">
        <v>388</v>
      </c>
      <c r="G5" s="295"/>
      <c r="H5" s="296"/>
      <c r="I5" s="243" t="s">
        <v>49</v>
      </c>
      <c r="J5" s="243" t="s">
        <v>138</v>
      </c>
      <c r="K5" s="227">
        <v>19</v>
      </c>
      <c r="M5" s="412" t="s">
        <v>205</v>
      </c>
      <c r="N5" s="413"/>
      <c r="O5" s="419">
        <v>30</v>
      </c>
      <c r="P5" s="421">
        <f>O5/5</f>
        <v>6</v>
      </c>
      <c r="Q5" s="421"/>
      <c r="R5" s="422"/>
      <c r="S5" s="386"/>
      <c r="T5" s="387"/>
      <c r="U5" s="390" t="s">
        <v>250</v>
      </c>
      <c r="V5" s="391"/>
      <c r="W5" s="392"/>
      <c r="X5" s="399"/>
      <c r="Y5" s="400"/>
    </row>
    <row r="6" spans="2:25" ht="13.5" customHeight="1" thickBot="1">
      <c r="B6" s="297"/>
      <c r="C6" s="299"/>
      <c r="D6" s="336"/>
      <c r="E6" s="242"/>
      <c r="F6" s="297"/>
      <c r="G6" s="298"/>
      <c r="H6" s="299"/>
      <c r="I6" s="244"/>
      <c r="J6" s="244"/>
      <c r="K6" s="228"/>
      <c r="M6" s="414"/>
      <c r="N6" s="415"/>
      <c r="O6" s="420"/>
      <c r="P6" s="423"/>
      <c r="Q6" s="423"/>
      <c r="R6" s="424"/>
      <c r="S6" s="388"/>
      <c r="T6" s="389"/>
      <c r="U6" s="393"/>
      <c r="V6" s="394"/>
      <c r="W6" s="395"/>
      <c r="X6" s="401"/>
      <c r="Y6" s="402"/>
    </row>
    <row r="7" spans="2:25" ht="13.5" customHeight="1" thickBot="1">
      <c r="B7" s="45" t="s">
        <v>187</v>
      </c>
      <c r="C7" s="45"/>
      <c r="D7" s="18" t="s">
        <v>186</v>
      </c>
      <c r="E7" s="18" t="s">
        <v>188</v>
      </c>
      <c r="F7" s="45" t="s">
        <v>185</v>
      </c>
      <c r="G7" s="45"/>
      <c r="H7" s="45"/>
      <c r="I7" s="18" t="s">
        <v>32</v>
      </c>
      <c r="J7" s="18" t="s">
        <v>135</v>
      </c>
      <c r="K7" s="18" t="s">
        <v>184</v>
      </c>
      <c r="M7" s="416" t="s">
        <v>148</v>
      </c>
      <c r="N7" s="417"/>
      <c r="O7" s="47" t="s">
        <v>189</v>
      </c>
      <c r="P7" s="384" t="s">
        <v>191</v>
      </c>
      <c r="Q7" s="384"/>
      <c r="R7" s="384"/>
      <c r="S7" s="396" t="s">
        <v>194</v>
      </c>
      <c r="T7" s="396"/>
      <c r="U7" s="397" t="s">
        <v>193</v>
      </c>
      <c r="V7" s="397"/>
      <c r="W7" s="397"/>
      <c r="X7" s="398" t="s">
        <v>192</v>
      </c>
      <c r="Y7" s="398"/>
    </row>
    <row r="8" spans="2:25" ht="13.5" customHeight="1">
      <c r="M8" s="428"/>
      <c r="N8" s="429"/>
      <c r="O8" s="399">
        <v>20</v>
      </c>
      <c r="P8" s="425">
        <f>O8/5</f>
        <v>4</v>
      </c>
      <c r="Q8" s="421"/>
      <c r="R8" s="422"/>
      <c r="S8" s="403"/>
      <c r="T8" s="404"/>
      <c r="U8" s="405"/>
      <c r="V8" s="410" t="s">
        <v>207</v>
      </c>
      <c r="W8" s="410"/>
      <c r="X8" s="410"/>
      <c r="Y8" s="411"/>
    </row>
    <row r="9" spans="2:25" ht="13.5" customHeight="1" thickBot="1">
      <c r="C9" s="4" t="s">
        <v>9</v>
      </c>
      <c r="D9" s="4" t="s">
        <v>9</v>
      </c>
      <c r="E9" s="4" t="s">
        <v>13</v>
      </c>
      <c r="F9" s="4" t="s">
        <v>13</v>
      </c>
      <c r="M9" s="430"/>
      <c r="N9" s="431"/>
      <c r="O9" s="401"/>
      <c r="P9" s="426"/>
      <c r="Q9" s="423"/>
      <c r="R9" s="424"/>
      <c r="S9" s="406"/>
      <c r="T9" s="407"/>
      <c r="U9" s="408"/>
      <c r="V9" s="374"/>
      <c r="W9" s="374"/>
      <c r="X9" s="374"/>
      <c r="Y9" s="375"/>
    </row>
    <row r="10" spans="2:25" ht="13.5" customHeight="1" thickBot="1">
      <c r="B10" s="5" t="s">
        <v>2</v>
      </c>
      <c r="C10" s="6" t="s">
        <v>10</v>
      </c>
      <c r="D10" s="4" t="s">
        <v>11</v>
      </c>
      <c r="E10" s="4" t="s">
        <v>14</v>
      </c>
      <c r="F10" s="4" t="s">
        <v>12</v>
      </c>
      <c r="H10" s="4" t="s">
        <v>22</v>
      </c>
      <c r="I10" s="4" t="s">
        <v>21</v>
      </c>
      <c r="J10" s="5" t="s">
        <v>24</v>
      </c>
      <c r="K10" s="5" t="s">
        <v>23</v>
      </c>
      <c r="M10" s="427" t="s">
        <v>202</v>
      </c>
      <c r="N10" s="427"/>
      <c r="O10" s="47" t="s">
        <v>190</v>
      </c>
      <c r="P10" s="385" t="s">
        <v>191</v>
      </c>
      <c r="Q10" s="385"/>
      <c r="R10" s="385"/>
      <c r="S10" s="409" t="s">
        <v>206</v>
      </c>
      <c r="T10" s="409"/>
      <c r="U10" s="409"/>
      <c r="V10" s="373"/>
      <c r="W10" s="374"/>
      <c r="X10" s="374"/>
      <c r="Y10" s="375"/>
    </row>
    <row r="11" spans="2:25" ht="13.5" customHeight="1">
      <c r="B11" s="305" t="s">
        <v>3</v>
      </c>
      <c r="C11" s="325">
        <f>Growth!N2+'Feats&amp;Traits'!B2</f>
        <v>7</v>
      </c>
      <c r="D11" s="248">
        <f>CalculateModifier(C11)</f>
        <v>-2</v>
      </c>
      <c r="E11" s="342"/>
      <c r="F11" s="342"/>
      <c r="G11" s="305" t="s">
        <v>20</v>
      </c>
      <c r="H11" s="330">
        <v>10</v>
      </c>
      <c r="I11" s="330">
        <v>10</v>
      </c>
      <c r="J11" s="330">
        <v>0</v>
      </c>
      <c r="K11" s="325">
        <f>'Feats&amp;Traits'!BE2</f>
        <v>0</v>
      </c>
      <c r="M11" s="251" t="s">
        <v>149</v>
      </c>
      <c r="N11" s="252"/>
      <c r="O11" s="252"/>
      <c r="P11" s="252"/>
      <c r="Q11" s="252"/>
      <c r="R11" s="252"/>
      <c r="S11" s="252"/>
      <c r="T11" s="252"/>
      <c r="U11" s="252"/>
      <c r="V11" s="252"/>
      <c r="W11" s="252"/>
      <c r="X11" s="252"/>
      <c r="Y11" s="253"/>
    </row>
    <row r="12" spans="2:25" ht="13.5" customHeight="1">
      <c r="B12" s="306"/>
      <c r="C12" s="326"/>
      <c r="D12" s="249"/>
      <c r="E12" s="343"/>
      <c r="F12" s="343"/>
      <c r="G12" s="306"/>
      <c r="H12" s="331"/>
      <c r="I12" s="331"/>
      <c r="J12" s="331"/>
      <c r="K12" s="326"/>
      <c r="M12" s="254"/>
      <c r="N12" s="255"/>
      <c r="O12" s="255"/>
      <c r="P12" s="255"/>
      <c r="Q12" s="255"/>
      <c r="R12" s="255"/>
      <c r="S12" s="255"/>
      <c r="T12" s="255"/>
      <c r="U12" s="255"/>
      <c r="V12" s="255"/>
      <c r="W12" s="255"/>
      <c r="X12" s="255"/>
      <c r="Y12" s="256"/>
    </row>
    <row r="13" spans="2:25" ht="13.5" customHeight="1" thickBot="1">
      <c r="B13" s="306"/>
      <c r="C13" s="326"/>
      <c r="D13" s="249"/>
      <c r="E13" s="343"/>
      <c r="F13" s="343"/>
      <c r="G13" s="306"/>
      <c r="H13" s="331"/>
      <c r="I13" s="331"/>
      <c r="J13" s="331"/>
      <c r="K13" s="326"/>
      <c r="M13" s="376"/>
      <c r="N13" s="377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8"/>
    </row>
    <row r="14" spans="2:25" ht="13.5" customHeight="1" thickBot="1">
      <c r="B14" s="7" t="s">
        <v>71</v>
      </c>
      <c r="C14" s="327"/>
      <c r="D14" s="250"/>
      <c r="E14" s="344"/>
      <c r="F14" s="344"/>
      <c r="G14" s="8" t="s">
        <v>72</v>
      </c>
      <c r="H14" s="332"/>
      <c r="I14" s="332"/>
      <c r="J14" s="332"/>
      <c r="K14" s="327"/>
    </row>
    <row r="15" spans="2:25" ht="13.5" customHeight="1">
      <c r="B15" s="306" t="s">
        <v>4</v>
      </c>
      <c r="C15" s="325">
        <f>Growth!N3+'Feats&amp;Traits'!C2</f>
        <v>16</v>
      </c>
      <c r="D15" s="248">
        <f t="shared" ref="D15" si="0">CalculateModifier(C15)</f>
        <v>3</v>
      </c>
      <c r="E15" s="342"/>
      <c r="F15" s="342"/>
      <c r="G15" s="198" t="s">
        <v>232</v>
      </c>
      <c r="H15" s="200"/>
      <c r="I15" s="248">
        <f>J15+K15</f>
        <v>3</v>
      </c>
      <c r="J15" s="248">
        <f>D15</f>
        <v>3</v>
      </c>
      <c r="K15" s="325">
        <f>'Feats&amp;Traits'!BD2</f>
        <v>0</v>
      </c>
      <c r="M15" s="340"/>
      <c r="N15" s="345" t="s">
        <v>154</v>
      </c>
      <c r="O15" s="345"/>
      <c r="Q15" s="3" t="s">
        <v>29</v>
      </c>
      <c r="S15" s="3" t="s">
        <v>157</v>
      </c>
      <c r="U15" s="3" t="s">
        <v>157</v>
      </c>
      <c r="W15" s="3"/>
      <c r="Y15" s="3" t="s">
        <v>151</v>
      </c>
    </row>
    <row r="16" spans="2:25" ht="13.5" customHeight="1">
      <c r="B16" s="306"/>
      <c r="C16" s="326"/>
      <c r="D16" s="249"/>
      <c r="E16" s="343"/>
      <c r="F16" s="343"/>
      <c r="G16" s="201"/>
      <c r="H16" s="203"/>
      <c r="I16" s="249"/>
      <c r="J16" s="249"/>
      <c r="K16" s="326"/>
      <c r="M16" s="340"/>
      <c r="N16" s="345"/>
      <c r="O16" s="345"/>
      <c r="Q16" s="3" t="s">
        <v>156</v>
      </c>
      <c r="S16" s="3" t="s">
        <v>89</v>
      </c>
      <c r="U16" s="3" t="s">
        <v>152</v>
      </c>
      <c r="W16" s="3" t="s">
        <v>153</v>
      </c>
      <c r="Y16" s="3" t="s">
        <v>152</v>
      </c>
    </row>
    <row r="17" spans="2:25" ht="13.5" customHeight="1">
      <c r="B17" s="306"/>
      <c r="C17" s="326"/>
      <c r="D17" s="249"/>
      <c r="E17" s="343"/>
      <c r="F17" s="343"/>
      <c r="G17" s="201"/>
      <c r="H17" s="203"/>
      <c r="I17" s="249"/>
      <c r="J17" s="249"/>
      <c r="K17" s="326"/>
      <c r="M17" s="161"/>
      <c r="N17" s="163" t="s">
        <v>150</v>
      </c>
      <c r="O17" s="164"/>
      <c r="Q17" s="346">
        <f>IF(M17=0,SUM(U17,W17,Y17),IF(W17&gt;0,SUM(U17,W17,Y17)+3,SUM(U17,W17,Y17)))</f>
        <v>-1</v>
      </c>
      <c r="R17" s="340"/>
      <c r="S17" s="339" t="s">
        <v>4</v>
      </c>
      <c r="T17" s="340"/>
      <c r="U17" s="353">
        <f>VLOOKUP(S17,Fibonacci89!F$2:H$8,3,0)</f>
        <v>3</v>
      </c>
      <c r="V17" s="357" t="s">
        <v>158</v>
      </c>
      <c r="W17" s="355"/>
      <c r="X17" s="357" t="s">
        <v>158</v>
      </c>
      <c r="Y17" s="359">
        <f>HLOOKUP(N17,'Feats&amp;Traits'!$B$1:$BD$2,2,FALSE)</f>
        <v>-4</v>
      </c>
    </row>
    <row r="18" spans="2:25" ht="13.5" customHeight="1" thickBot="1">
      <c r="B18" s="7" t="s">
        <v>66</v>
      </c>
      <c r="C18" s="327"/>
      <c r="D18" s="250"/>
      <c r="E18" s="344"/>
      <c r="F18" s="344"/>
      <c r="G18" s="333" t="s">
        <v>73</v>
      </c>
      <c r="H18" s="334"/>
      <c r="I18" s="250"/>
      <c r="J18" s="250"/>
      <c r="K18" s="327"/>
      <c r="M18" s="162"/>
      <c r="N18" s="163"/>
      <c r="O18" s="164"/>
      <c r="Q18" s="347"/>
      <c r="R18" s="340"/>
      <c r="S18" s="339"/>
      <c r="T18" s="340"/>
      <c r="U18" s="354"/>
      <c r="V18" s="358"/>
      <c r="W18" s="356"/>
      <c r="X18" s="358"/>
      <c r="Y18" s="360"/>
    </row>
    <row r="19" spans="2:25" ht="13.5" customHeight="1">
      <c r="B19" s="306" t="s">
        <v>5</v>
      </c>
      <c r="C19" s="341">
        <f>Growth!N4+'Feats&amp;Traits'!D2</f>
        <v>14</v>
      </c>
      <c r="D19" s="248">
        <f t="shared" ref="D19" si="1">CalculateModifier(C19)</f>
        <v>2</v>
      </c>
      <c r="E19" s="342"/>
      <c r="F19" s="342"/>
      <c r="I19" s="3" t="s">
        <v>29</v>
      </c>
      <c r="J19" s="3" t="s">
        <v>4</v>
      </c>
      <c r="K19" s="3" t="s">
        <v>28</v>
      </c>
      <c r="M19" s="161" t="s">
        <v>399</v>
      </c>
      <c r="N19" s="163" t="s">
        <v>155</v>
      </c>
      <c r="O19" s="164"/>
      <c r="P19" s="352"/>
      <c r="Q19" s="346">
        <f>IF(M19=0,SUM(U19,W19,Y19),IF(W19&gt;0,SUM(U19,W19,Y19)+3,SUM(U19,W19,Y19)))</f>
        <v>0</v>
      </c>
      <c r="R19" s="340"/>
      <c r="S19" s="339" t="s">
        <v>6</v>
      </c>
      <c r="T19" s="340"/>
      <c r="U19" s="353">
        <f>VLOOKUP(S19,Fibonacci89!F$2:H$8,3,0)</f>
        <v>0</v>
      </c>
      <c r="V19" s="357" t="s">
        <v>158</v>
      </c>
      <c r="W19" s="355"/>
      <c r="X19" s="357" t="s">
        <v>158</v>
      </c>
      <c r="Y19" s="359">
        <f>HLOOKUP(N19,'Feats&amp;Traits'!$B$1:$BD$2,2,FALSE)</f>
        <v>0</v>
      </c>
    </row>
    <row r="20" spans="2:25" ht="13.5" customHeight="1" thickBot="1">
      <c r="B20" s="306"/>
      <c r="C20" s="326"/>
      <c r="D20" s="249"/>
      <c r="E20" s="343"/>
      <c r="F20" s="343"/>
      <c r="J20" s="3" t="s">
        <v>11</v>
      </c>
      <c r="K20" s="3" t="s">
        <v>11</v>
      </c>
      <c r="M20" s="162"/>
      <c r="N20" s="163"/>
      <c r="O20" s="164"/>
      <c r="P20" s="352"/>
      <c r="Q20" s="347"/>
      <c r="R20" s="340"/>
      <c r="S20" s="339"/>
      <c r="T20" s="340"/>
      <c r="U20" s="354"/>
      <c r="V20" s="358"/>
      <c r="W20" s="356"/>
      <c r="X20" s="358"/>
      <c r="Y20" s="360"/>
    </row>
    <row r="21" spans="2:25" ht="13.5" customHeight="1">
      <c r="B21" s="306"/>
      <c r="C21" s="326"/>
      <c r="D21" s="249"/>
      <c r="E21" s="343"/>
      <c r="F21" s="343"/>
      <c r="G21" s="337"/>
      <c r="H21" s="338"/>
      <c r="I21" s="338"/>
      <c r="J21" s="432" t="s">
        <v>58</v>
      </c>
      <c r="K21" s="433"/>
      <c r="M21" s="161"/>
      <c r="N21" s="163" t="s">
        <v>159</v>
      </c>
      <c r="O21" s="164"/>
      <c r="P21" s="352"/>
      <c r="Q21" s="346">
        <f>IF(M21=0,SUM(U21,W21,Y21),IF(W21&gt;0,SUM(U21,W21,Y21)+3,SUM(U21,W21,Y21)))</f>
        <v>1</v>
      </c>
      <c r="R21" s="340"/>
      <c r="S21" s="339" t="s">
        <v>8</v>
      </c>
      <c r="T21" s="340"/>
      <c r="U21" s="353">
        <f>VLOOKUP(S21,Fibonacci89!F$2:H$8,3,0)</f>
        <v>1</v>
      </c>
      <c r="V21" s="357" t="s">
        <v>158</v>
      </c>
      <c r="W21" s="355"/>
      <c r="X21" s="357" t="s">
        <v>158</v>
      </c>
      <c r="Y21" s="359">
        <f>HLOOKUP(N21,'Feats&amp;Traits'!$B$1:$BD$2,2,FALSE)</f>
        <v>0</v>
      </c>
    </row>
    <row r="22" spans="2:25" ht="13.5" customHeight="1" thickBot="1">
      <c r="B22" s="7" t="s">
        <v>65</v>
      </c>
      <c r="C22" s="327"/>
      <c r="D22" s="250"/>
      <c r="E22" s="344"/>
      <c r="F22" s="344"/>
      <c r="G22" s="448"/>
      <c r="H22" s="449"/>
      <c r="I22" s="449"/>
      <c r="J22" s="449"/>
      <c r="K22" s="450"/>
      <c r="M22" s="162"/>
      <c r="N22" s="163"/>
      <c r="O22" s="164"/>
      <c r="P22" s="352"/>
      <c r="Q22" s="347"/>
      <c r="R22" s="340"/>
      <c r="S22" s="339"/>
      <c r="T22" s="340"/>
      <c r="U22" s="354"/>
      <c r="V22" s="358"/>
      <c r="W22" s="356"/>
      <c r="X22" s="358"/>
      <c r="Y22" s="360"/>
    </row>
    <row r="23" spans="2:25" ht="13.5" customHeight="1">
      <c r="B23" s="306" t="s">
        <v>6</v>
      </c>
      <c r="C23" s="325">
        <f>Growth!N5+'Feats&amp;Traits'!E2</f>
        <v>10</v>
      </c>
      <c r="D23" s="248">
        <f t="shared" ref="D23" si="2">CalculateModifier(C23)</f>
        <v>0</v>
      </c>
      <c r="E23" s="342"/>
      <c r="F23" s="342"/>
      <c r="G23" s="448"/>
      <c r="H23" s="449"/>
      <c r="I23" s="449"/>
      <c r="J23" s="449"/>
      <c r="K23" s="450"/>
      <c r="M23" s="161"/>
      <c r="N23" s="163" t="s">
        <v>160</v>
      </c>
      <c r="O23" s="164"/>
      <c r="P23" s="352"/>
      <c r="Q23" s="346">
        <f>(IF(M23=0,SUM(U23,W23,Y23),IF(W23&gt;0,SUM(U23,W23,Y23)+3,SUM(U23,W23,Y23))))+Fibonacci89!G21</f>
        <v>-6</v>
      </c>
      <c r="R23" s="340"/>
      <c r="S23" s="339" t="s">
        <v>3</v>
      </c>
      <c r="T23" s="340"/>
      <c r="U23" s="353">
        <f>VLOOKUP(S23,Fibonacci89!F$2:H$8,3,0)</f>
        <v>-2</v>
      </c>
      <c r="V23" s="357" t="s">
        <v>158</v>
      </c>
      <c r="W23" s="355"/>
      <c r="X23" s="357" t="s">
        <v>158</v>
      </c>
      <c r="Y23" s="359">
        <f>HLOOKUP(N23,'Feats&amp;Traits'!$B$1:$BD$2,2,FALSE)</f>
        <v>-4</v>
      </c>
    </row>
    <row r="24" spans="2:25" ht="13.5" customHeight="1">
      <c r="B24" s="306"/>
      <c r="C24" s="326"/>
      <c r="D24" s="249"/>
      <c r="E24" s="343"/>
      <c r="F24" s="343"/>
      <c r="G24" s="448"/>
      <c r="H24" s="449"/>
      <c r="I24" s="449"/>
      <c r="J24" s="449"/>
      <c r="K24" s="450"/>
      <c r="M24" s="162"/>
      <c r="N24" s="163"/>
      <c r="O24" s="164"/>
      <c r="P24" s="352"/>
      <c r="Q24" s="347"/>
      <c r="R24" s="340"/>
      <c r="S24" s="339"/>
      <c r="T24" s="340"/>
      <c r="U24" s="354"/>
      <c r="V24" s="358"/>
      <c r="W24" s="356"/>
      <c r="X24" s="358"/>
      <c r="Y24" s="360"/>
    </row>
    <row r="25" spans="2:25" ht="13.5" customHeight="1">
      <c r="B25" s="306"/>
      <c r="C25" s="326"/>
      <c r="D25" s="249"/>
      <c r="E25" s="343"/>
      <c r="F25" s="343"/>
      <c r="G25" s="448"/>
      <c r="H25" s="449"/>
      <c r="I25" s="449"/>
      <c r="J25" s="449"/>
      <c r="K25" s="450"/>
      <c r="M25" s="161" t="s">
        <v>399</v>
      </c>
      <c r="N25" s="163" t="s">
        <v>374</v>
      </c>
      <c r="O25" s="165"/>
      <c r="P25" s="352"/>
      <c r="Q25" s="346">
        <f>IF(M25=0,SUM(U25,W25,Y25),IF(W25&gt;0,SUM(U25,W25,Y25)+3,SUM(U25,W25,Y25)))</f>
        <v>0</v>
      </c>
      <c r="R25" s="340"/>
      <c r="S25" s="339" t="s">
        <v>6</v>
      </c>
      <c r="T25" s="340"/>
      <c r="U25" s="353">
        <f>VLOOKUP(S25,Fibonacci89!F$2:H$8,3,0)</f>
        <v>0</v>
      </c>
      <c r="V25" s="357" t="s">
        <v>158</v>
      </c>
      <c r="W25" s="355"/>
      <c r="X25" s="357" t="s">
        <v>158</v>
      </c>
      <c r="Y25" s="359">
        <f>HLOOKUP(N25,'Feats&amp;Traits'!$B$1:$BD$2,2,FALSE)</f>
        <v>0</v>
      </c>
    </row>
    <row r="26" spans="2:25" ht="13.5" customHeight="1" thickBot="1">
      <c r="B26" s="7" t="s">
        <v>67</v>
      </c>
      <c r="C26" s="327"/>
      <c r="D26" s="250"/>
      <c r="E26" s="344"/>
      <c r="F26" s="344"/>
      <c r="G26" s="451"/>
      <c r="H26" s="452"/>
      <c r="I26" s="452"/>
      <c r="J26" s="452"/>
      <c r="K26" s="453"/>
      <c r="M26" s="162"/>
      <c r="N26" s="163"/>
      <c r="O26" s="166"/>
      <c r="P26" s="352"/>
      <c r="Q26" s="347"/>
      <c r="R26" s="340"/>
      <c r="S26" s="339"/>
      <c r="T26" s="340"/>
      <c r="U26" s="354"/>
      <c r="V26" s="358"/>
      <c r="W26" s="356"/>
      <c r="X26" s="358"/>
      <c r="Y26" s="360"/>
    </row>
    <row r="27" spans="2:25" ht="13.5" customHeight="1">
      <c r="B27" s="306" t="s">
        <v>7</v>
      </c>
      <c r="C27" s="325">
        <f>Growth!N6+'Feats&amp;Traits'!F2</f>
        <v>16</v>
      </c>
      <c r="D27" s="248">
        <f t="shared" ref="D27" si="3">CalculateModifier(C27)</f>
        <v>3</v>
      </c>
      <c r="E27" s="342"/>
      <c r="F27" s="342"/>
      <c r="G27" s="251" t="s">
        <v>57</v>
      </c>
      <c r="H27" s="252"/>
      <c r="I27" s="252"/>
      <c r="J27" s="253"/>
      <c r="K27" s="249">
        <f>10+SUM(F36:K39)</f>
        <v>13</v>
      </c>
      <c r="M27" s="161" t="s">
        <v>399</v>
      </c>
      <c r="N27" s="163" t="s">
        <v>375</v>
      </c>
      <c r="O27" s="167"/>
      <c r="P27" s="352"/>
      <c r="Q27" s="346">
        <f>IF(M27=0,SUM(U27,W27,Y27),IF(W27&gt;0,SUM(U27,W27,Y27)+3,SUM(U27,W27,Y27)))</f>
        <v>0</v>
      </c>
      <c r="R27" s="340"/>
      <c r="S27" s="339" t="s">
        <v>6</v>
      </c>
      <c r="T27" s="340"/>
      <c r="U27" s="353">
        <f>VLOOKUP(S27,Fibonacci89!F$2:H$8,3,0)</f>
        <v>0</v>
      </c>
      <c r="V27" s="357" t="s">
        <v>158</v>
      </c>
      <c r="W27" s="355"/>
      <c r="X27" s="357" t="s">
        <v>158</v>
      </c>
      <c r="Y27" s="359">
        <f>HLOOKUP(N27,'Feats&amp;Traits'!$B$1:$BD$2,2,FALSE)</f>
        <v>0</v>
      </c>
    </row>
    <row r="28" spans="2:25" ht="13.5" customHeight="1">
      <c r="B28" s="306"/>
      <c r="C28" s="326"/>
      <c r="D28" s="249"/>
      <c r="E28" s="343"/>
      <c r="F28" s="343"/>
      <c r="G28" s="254"/>
      <c r="H28" s="255"/>
      <c r="I28" s="255"/>
      <c r="J28" s="256"/>
      <c r="K28" s="249"/>
      <c r="M28" s="162"/>
      <c r="N28" s="163"/>
      <c r="O28" s="166"/>
      <c r="P28" s="352"/>
      <c r="Q28" s="347"/>
      <c r="R28" s="340"/>
      <c r="S28" s="339"/>
      <c r="T28" s="340"/>
      <c r="U28" s="354"/>
      <c r="V28" s="358"/>
      <c r="W28" s="356"/>
      <c r="X28" s="358"/>
      <c r="Y28" s="360"/>
    </row>
    <row r="29" spans="2:25" ht="13.5" customHeight="1">
      <c r="B29" s="306"/>
      <c r="C29" s="326"/>
      <c r="D29" s="249"/>
      <c r="E29" s="343"/>
      <c r="F29" s="343"/>
      <c r="G29" s="254"/>
      <c r="H29" s="255"/>
      <c r="I29" s="255"/>
      <c r="J29" s="256"/>
      <c r="K29" s="249"/>
      <c r="M29" s="161" t="s">
        <v>399</v>
      </c>
      <c r="N29" s="163" t="s">
        <v>376</v>
      </c>
      <c r="O29" s="167"/>
      <c r="P29" s="352"/>
      <c r="Q29" s="346">
        <f>IF(M29=0,SUM(U29,W29,Y29),IF(W29&gt;0,SUM(U29,W29,Y29)+3,SUM(U29,W29,Y29)))</f>
        <v>0</v>
      </c>
      <c r="R29" s="340"/>
      <c r="S29" s="339" t="s">
        <v>6</v>
      </c>
      <c r="T29" s="340"/>
      <c r="U29" s="353">
        <f>VLOOKUP(S29,Fibonacci89!F$2:H$8,3,0)</f>
        <v>0</v>
      </c>
      <c r="V29" s="357" t="s">
        <v>158</v>
      </c>
      <c r="W29" s="355"/>
      <c r="X29" s="357" t="s">
        <v>158</v>
      </c>
      <c r="Y29" s="359">
        <f>HLOOKUP(N29,'Feats&amp;Traits'!$B$1:$BD$2,2,FALSE)</f>
        <v>0</v>
      </c>
    </row>
    <row r="30" spans="2:25" ht="13.5" customHeight="1" thickBot="1">
      <c r="B30" s="7" t="s">
        <v>68</v>
      </c>
      <c r="C30" s="327"/>
      <c r="D30" s="250"/>
      <c r="E30" s="344"/>
      <c r="F30" s="344"/>
      <c r="G30" s="257" t="s">
        <v>70</v>
      </c>
      <c r="H30" s="258"/>
      <c r="I30" s="258"/>
      <c r="J30" s="259"/>
      <c r="K30" s="250"/>
      <c r="M30" s="162"/>
      <c r="N30" s="163"/>
      <c r="O30" s="166"/>
      <c r="P30" s="352"/>
      <c r="Q30" s="347"/>
      <c r="R30" s="340"/>
      <c r="S30" s="339"/>
      <c r="T30" s="340"/>
      <c r="U30" s="354"/>
      <c r="V30" s="358"/>
      <c r="W30" s="356"/>
      <c r="X30" s="358"/>
      <c r="Y30" s="360"/>
    </row>
    <row r="31" spans="2:25" ht="13.5" customHeight="1">
      <c r="B31" s="306" t="s">
        <v>8</v>
      </c>
      <c r="C31" s="325">
        <f>Growth!N7+'Feats&amp;Traits'!G2</f>
        <v>12</v>
      </c>
      <c r="D31" s="248">
        <f t="shared" ref="D31" si="4">CalculateModifier(C31)</f>
        <v>1</v>
      </c>
      <c r="E31" s="342"/>
      <c r="F31" s="342"/>
      <c r="G31" s="254" t="s">
        <v>204</v>
      </c>
      <c r="H31" s="255"/>
      <c r="I31" s="255"/>
      <c r="J31" s="256"/>
      <c r="K31" s="248">
        <f>10+SUM(E36:K39)-G36</f>
        <v>16</v>
      </c>
      <c r="M31" s="161" t="s">
        <v>399</v>
      </c>
      <c r="N31" s="163" t="s">
        <v>161</v>
      </c>
      <c r="O31" s="164"/>
      <c r="P31" s="352"/>
      <c r="Q31" s="346">
        <f>IF(M31=0,SUM(U31,W31,Y31),IF(W31&gt;0,SUM(U31,W31,Y31)+3,SUM(U31,W31,Y31)))</f>
        <v>1</v>
      </c>
      <c r="R31" s="340"/>
      <c r="S31" s="339" t="s">
        <v>8</v>
      </c>
      <c r="T31" s="340"/>
      <c r="U31" s="353">
        <f>VLOOKUP(S31,Fibonacci89!F$2:H$8,3,0)</f>
        <v>1</v>
      </c>
      <c r="V31" s="357" t="s">
        <v>158</v>
      </c>
      <c r="W31" s="355"/>
      <c r="X31" s="357" t="s">
        <v>158</v>
      </c>
      <c r="Y31" s="359">
        <f>HLOOKUP(N31,'Feats&amp;Traits'!$B$1:$BD$2,2,FALSE)</f>
        <v>0</v>
      </c>
    </row>
    <row r="32" spans="2:25" ht="13.5" customHeight="1">
      <c r="B32" s="306"/>
      <c r="C32" s="326"/>
      <c r="D32" s="249"/>
      <c r="E32" s="343"/>
      <c r="F32" s="343"/>
      <c r="G32" s="254"/>
      <c r="H32" s="255"/>
      <c r="I32" s="255"/>
      <c r="J32" s="256"/>
      <c r="K32" s="249"/>
      <c r="M32" s="162"/>
      <c r="N32" s="163"/>
      <c r="O32" s="164"/>
      <c r="P32" s="352"/>
      <c r="Q32" s="347"/>
      <c r="R32" s="340"/>
      <c r="S32" s="339"/>
      <c r="T32" s="340"/>
      <c r="U32" s="354"/>
      <c r="V32" s="358"/>
      <c r="W32" s="356"/>
      <c r="X32" s="358"/>
      <c r="Y32" s="360"/>
    </row>
    <row r="33" spans="2:25" ht="13.5" customHeight="1">
      <c r="B33" s="306"/>
      <c r="C33" s="326"/>
      <c r="D33" s="249"/>
      <c r="E33" s="343"/>
      <c r="F33" s="343"/>
      <c r="G33" s="254"/>
      <c r="H33" s="255"/>
      <c r="I33" s="255"/>
      <c r="J33" s="256"/>
      <c r="K33" s="249"/>
      <c r="M33" s="161"/>
      <c r="N33" s="163" t="s">
        <v>167</v>
      </c>
      <c r="O33" s="164"/>
      <c r="P33" s="352"/>
      <c r="Q33" s="346">
        <f>IF(M33=0,SUM(U33,W33,Y33),IF(W33&gt;0,SUM(U33,W33,Y33)+3,SUM(U33,W33,Y33)))</f>
        <v>-1</v>
      </c>
      <c r="R33" s="340"/>
      <c r="S33" s="339" t="s">
        <v>4</v>
      </c>
      <c r="T33" s="340"/>
      <c r="U33" s="353">
        <f>VLOOKUP(S33,Fibonacci89!F$2:H$8,3,0)</f>
        <v>3</v>
      </c>
      <c r="V33" s="357" t="s">
        <v>158</v>
      </c>
      <c r="W33" s="355"/>
      <c r="X33" s="357" t="s">
        <v>158</v>
      </c>
      <c r="Y33" s="359">
        <f>HLOOKUP(N33,'Feats&amp;Traits'!$B$1:$BD$2,2,FALSE)</f>
        <v>-4</v>
      </c>
    </row>
    <row r="34" spans="2:25" ht="13.5" customHeight="1" thickBot="1">
      <c r="B34" s="8" t="s">
        <v>69</v>
      </c>
      <c r="C34" s="327"/>
      <c r="D34" s="250"/>
      <c r="E34" s="344"/>
      <c r="F34" s="344"/>
      <c r="G34" s="245" t="s">
        <v>70</v>
      </c>
      <c r="H34" s="246"/>
      <c r="I34" s="246"/>
      <c r="J34" s="247"/>
      <c r="K34" s="250"/>
      <c r="M34" s="162"/>
      <c r="N34" s="163"/>
      <c r="O34" s="164"/>
      <c r="P34" s="352"/>
      <c r="Q34" s="347"/>
      <c r="R34" s="340"/>
      <c r="S34" s="339"/>
      <c r="T34" s="340"/>
      <c r="U34" s="354"/>
      <c r="V34" s="358"/>
      <c r="W34" s="356"/>
      <c r="X34" s="358"/>
      <c r="Y34" s="360"/>
    </row>
    <row r="35" spans="2:25" ht="13.5" customHeight="1" thickBot="1">
      <c r="M35" s="161"/>
      <c r="N35" s="163" t="s">
        <v>162</v>
      </c>
      <c r="O35" s="164"/>
      <c r="P35" s="352"/>
      <c r="Q35" s="346">
        <f>IF(M35=0,SUM(U35,W35,Y35),IF(W35&gt;0,SUM(U35,W35,Y35)+3,SUM(U35,W35,Y35)))</f>
        <v>1</v>
      </c>
      <c r="R35" s="340"/>
      <c r="S35" s="339" t="s">
        <v>8</v>
      </c>
      <c r="T35" s="340"/>
      <c r="U35" s="353">
        <f>VLOOKUP(S35,Fibonacci89!F$2:H$8,3,0)</f>
        <v>1</v>
      </c>
      <c r="V35" s="357" t="s">
        <v>158</v>
      </c>
      <c r="W35" s="355"/>
      <c r="X35" s="357" t="s">
        <v>158</v>
      </c>
      <c r="Y35" s="359">
        <f>HLOOKUP(N35,'Feats&amp;Traits'!$B$1:$BD$2,2,FALSE)</f>
        <v>0</v>
      </c>
    </row>
    <row r="36" spans="2:25" ht="13.5" customHeight="1">
      <c r="B36" s="305" t="s">
        <v>25</v>
      </c>
      <c r="C36" s="248">
        <f>10+SUM(E36:K39)</f>
        <v>19</v>
      </c>
      <c r="D36" s="328" t="s">
        <v>56</v>
      </c>
      <c r="E36" s="248">
        <f>SUM(G117:G126)-F36</f>
        <v>6</v>
      </c>
      <c r="F36" s="248">
        <f>Fibonacci89!J16</f>
        <v>0</v>
      </c>
      <c r="G36" s="248">
        <f>IF(D15&gt;H127,H127,D15)</f>
        <v>3</v>
      </c>
      <c r="H36" s="248">
        <f>VLOOKUP(I5,Fibonacci89!A2:C11,3,0)</f>
        <v>0</v>
      </c>
      <c r="I36" s="248">
        <f>'Feats&amp;Traits'!BB2</f>
        <v>0</v>
      </c>
      <c r="J36" s="248">
        <f>'Feats&amp;Traits'!BC2</f>
        <v>0</v>
      </c>
      <c r="K36" s="325">
        <f>'Feats&amp;Traits'!H2</f>
        <v>0</v>
      </c>
      <c r="M36" s="162"/>
      <c r="N36" s="163"/>
      <c r="O36" s="164"/>
      <c r="P36" s="352"/>
      <c r="Q36" s="347"/>
      <c r="R36" s="340"/>
      <c r="S36" s="339"/>
      <c r="T36" s="340"/>
      <c r="U36" s="354"/>
      <c r="V36" s="358"/>
      <c r="W36" s="356"/>
      <c r="X36" s="358"/>
      <c r="Y36" s="360"/>
    </row>
    <row r="37" spans="2:25" ht="13.5" customHeight="1">
      <c r="B37" s="306"/>
      <c r="C37" s="249"/>
      <c r="D37" s="329"/>
      <c r="E37" s="249"/>
      <c r="F37" s="249"/>
      <c r="G37" s="249"/>
      <c r="H37" s="249"/>
      <c r="I37" s="249"/>
      <c r="J37" s="249"/>
      <c r="K37" s="326"/>
      <c r="M37" s="161"/>
      <c r="N37" s="163" t="s">
        <v>163</v>
      </c>
      <c r="O37" s="164"/>
      <c r="P37" s="352"/>
      <c r="Q37" s="346">
        <f>IF(M37=0,SUM(U37,W37,Y37),IF(W37&gt;0,SUM(U37,W37,Y37)+3,SUM(U37,W37,Y37)))</f>
        <v>-1</v>
      </c>
      <c r="R37" s="340"/>
      <c r="S37" s="339" t="s">
        <v>4</v>
      </c>
      <c r="T37" s="340"/>
      <c r="U37" s="353">
        <f>VLOOKUP(S37,Fibonacci89!F$2:H$8,3,0)</f>
        <v>3</v>
      </c>
      <c r="V37" s="357" t="s">
        <v>158</v>
      </c>
      <c r="W37" s="355"/>
      <c r="X37" s="357" t="s">
        <v>158</v>
      </c>
      <c r="Y37" s="359">
        <f>HLOOKUP(N37,'Feats&amp;Traits'!$B$1:$BD$2,2,FALSE)</f>
        <v>-4</v>
      </c>
    </row>
    <row r="38" spans="2:25" ht="13.5" customHeight="1">
      <c r="B38" s="306"/>
      <c r="C38" s="249"/>
      <c r="D38" s="329"/>
      <c r="E38" s="249"/>
      <c r="F38" s="249"/>
      <c r="G38" s="249"/>
      <c r="H38" s="249"/>
      <c r="I38" s="249"/>
      <c r="J38" s="249"/>
      <c r="K38" s="326"/>
      <c r="M38" s="162"/>
      <c r="N38" s="163"/>
      <c r="O38" s="164"/>
      <c r="P38" s="352"/>
      <c r="Q38" s="347"/>
      <c r="R38" s="340"/>
      <c r="S38" s="339"/>
      <c r="T38" s="340"/>
      <c r="U38" s="354"/>
      <c r="V38" s="358"/>
      <c r="W38" s="356"/>
      <c r="X38" s="358"/>
      <c r="Y38" s="360"/>
    </row>
    <row r="39" spans="2:25" ht="13.5" customHeight="1" thickBot="1">
      <c r="B39" s="8" t="s">
        <v>70</v>
      </c>
      <c r="C39" s="250"/>
      <c r="D39" s="329"/>
      <c r="E39" s="250"/>
      <c r="F39" s="250"/>
      <c r="G39" s="250"/>
      <c r="H39" s="250"/>
      <c r="I39" s="250"/>
      <c r="J39" s="250"/>
      <c r="K39" s="327"/>
      <c r="M39" s="161"/>
      <c r="N39" s="163" t="s">
        <v>164</v>
      </c>
      <c r="O39" s="164"/>
      <c r="P39" s="352"/>
      <c r="Q39" s="346">
        <f>(IF(M39=0,SUM(U39,W39,Y39),IF(W39&gt;0,SUM(U39,W39,Y39)+3,SUM(U39,W39,Y39))))+VLOOKUP(U5,Fibonacci89!F14:G19,2,0)+VLOOKUP(Sheet!I5,Fibonacci89!D15:E23,2,0)</f>
        <v>-1</v>
      </c>
      <c r="R39" s="340"/>
      <c r="S39" s="339" t="s">
        <v>4</v>
      </c>
      <c r="T39" s="340"/>
      <c r="U39" s="353">
        <f>VLOOKUP(S39,Fibonacci89!F$2:H$8,3,0)</f>
        <v>3</v>
      </c>
      <c r="V39" s="357" t="s">
        <v>158</v>
      </c>
      <c r="W39" s="355"/>
      <c r="X39" s="357" t="s">
        <v>158</v>
      </c>
      <c r="Y39" s="359">
        <f>HLOOKUP(N39,'Feats&amp;Traits'!$B$1:$BD$2,2,FALSE)</f>
        <v>-4</v>
      </c>
    </row>
    <row r="40" spans="2:25" ht="13.5" customHeight="1">
      <c r="E40" s="3" t="s">
        <v>26</v>
      </c>
      <c r="F40" s="3" t="s">
        <v>30</v>
      </c>
      <c r="G40" s="3" t="s">
        <v>31</v>
      </c>
      <c r="H40" s="3" t="s">
        <v>32</v>
      </c>
      <c r="I40" s="3" t="s">
        <v>54</v>
      </c>
      <c r="J40" s="3" t="s">
        <v>55</v>
      </c>
      <c r="K40" s="3" t="s">
        <v>28</v>
      </c>
      <c r="M40" s="162"/>
      <c r="N40" s="163"/>
      <c r="O40" s="164"/>
      <c r="P40" s="352"/>
      <c r="Q40" s="347"/>
      <c r="R40" s="340"/>
      <c r="S40" s="339"/>
      <c r="T40" s="340"/>
      <c r="U40" s="354"/>
      <c r="V40" s="358"/>
      <c r="W40" s="356"/>
      <c r="X40" s="358"/>
      <c r="Y40" s="360"/>
    </row>
    <row r="41" spans="2:25" ht="13.5" customHeight="1">
      <c r="E41" s="3" t="s">
        <v>27</v>
      </c>
      <c r="F41" s="3" t="s">
        <v>27</v>
      </c>
      <c r="G41" s="3" t="s">
        <v>11</v>
      </c>
      <c r="H41" s="3" t="s">
        <v>11</v>
      </c>
      <c r="I41" s="3" t="s">
        <v>26</v>
      </c>
      <c r="J41" s="3" t="s">
        <v>11</v>
      </c>
      <c r="K41" s="3" t="s">
        <v>11</v>
      </c>
      <c r="M41" s="161"/>
      <c r="N41" s="163" t="s">
        <v>168</v>
      </c>
      <c r="O41" s="164"/>
      <c r="P41" s="352"/>
      <c r="Q41" s="346">
        <f>IF(M41=0,SUM(U41,W41,Y41),IF(W41&gt;0,SUM(U41,W41,Y41)+3,SUM(U41,W41,Y41)))</f>
        <v>1</v>
      </c>
      <c r="R41" s="340"/>
      <c r="S41" s="339" t="s">
        <v>8</v>
      </c>
      <c r="T41" s="340"/>
      <c r="U41" s="353">
        <f>VLOOKUP(S41,Fibonacci89!F$2:H$8,3,0)</f>
        <v>1</v>
      </c>
      <c r="V41" s="357" t="s">
        <v>158</v>
      </c>
      <c r="W41" s="355"/>
      <c r="X41" s="357" t="s">
        <v>158</v>
      </c>
      <c r="Y41" s="359">
        <f>HLOOKUP(N41,'Feats&amp;Traits'!$B$1:$BD$2,2,FALSE)</f>
        <v>0</v>
      </c>
    </row>
    <row r="42" spans="2:25" ht="13.5" customHeight="1">
      <c r="M42" s="162"/>
      <c r="N42" s="163"/>
      <c r="O42" s="164"/>
      <c r="P42" s="352"/>
      <c r="Q42" s="347"/>
      <c r="R42" s="340"/>
      <c r="S42" s="339"/>
      <c r="T42" s="340"/>
      <c r="U42" s="354"/>
      <c r="V42" s="358"/>
      <c r="W42" s="356"/>
      <c r="X42" s="358"/>
      <c r="Y42" s="360"/>
    </row>
    <row r="43" spans="2:25" ht="13.5" customHeight="1" thickBot="1">
      <c r="B43" s="454" t="s">
        <v>74</v>
      </c>
      <c r="C43" s="454"/>
      <c r="D43" s="454"/>
      <c r="F43" s="3" t="s">
        <v>75</v>
      </c>
      <c r="G43" s="3" t="s">
        <v>9</v>
      </c>
      <c r="H43" s="3" t="s">
        <v>78</v>
      </c>
      <c r="I43" s="3" t="s">
        <v>79</v>
      </c>
      <c r="J43" s="3" t="s">
        <v>13</v>
      </c>
      <c r="K43" s="1"/>
      <c r="M43" s="161" t="s">
        <v>399</v>
      </c>
      <c r="N43" s="163" t="s">
        <v>165</v>
      </c>
      <c r="O43" s="164"/>
      <c r="P43" s="352"/>
      <c r="Q43" s="346">
        <f>IF(M43=0,SUM(U43,W43,Y43),IF(W43&gt;0,SUM(U43,W43,Y43)+3,SUM(U43,W43,Y43)))</f>
        <v>3</v>
      </c>
      <c r="R43" s="340"/>
      <c r="S43" s="339" t="s">
        <v>7</v>
      </c>
      <c r="T43" s="340"/>
      <c r="U43" s="353">
        <f>VLOOKUP(S43,Fibonacci89!F$2:H$8,3,0)</f>
        <v>3</v>
      </c>
      <c r="V43" s="357" t="s">
        <v>158</v>
      </c>
      <c r="W43" s="355"/>
      <c r="X43" s="357" t="s">
        <v>158</v>
      </c>
      <c r="Y43" s="359">
        <f>HLOOKUP(N43,'Feats&amp;Traits'!$B$1:$BD$2,2,FALSE)</f>
        <v>0</v>
      </c>
    </row>
    <row r="44" spans="2:25" ht="13.5" customHeight="1" thickBot="1">
      <c r="B44" s="454"/>
      <c r="C44" s="454"/>
      <c r="D44" s="454"/>
      <c r="E44" s="2" t="s">
        <v>29</v>
      </c>
      <c r="F44" s="3" t="s">
        <v>76</v>
      </c>
      <c r="G44" s="3" t="s">
        <v>11</v>
      </c>
      <c r="H44" s="3" t="s">
        <v>11</v>
      </c>
      <c r="I44" s="3" t="s">
        <v>11</v>
      </c>
      <c r="J44" s="3" t="s">
        <v>11</v>
      </c>
      <c r="K44" s="10" t="s">
        <v>80</v>
      </c>
      <c r="M44" s="162"/>
      <c r="N44" s="163"/>
      <c r="O44" s="164"/>
      <c r="P44" s="352"/>
      <c r="Q44" s="347"/>
      <c r="R44" s="340"/>
      <c r="S44" s="339"/>
      <c r="T44" s="340"/>
      <c r="U44" s="354"/>
      <c r="V44" s="358"/>
      <c r="W44" s="356"/>
      <c r="X44" s="358"/>
      <c r="Y44" s="360"/>
    </row>
    <row r="45" spans="2:25" ht="13.5" customHeight="1">
      <c r="B45" s="251" t="s">
        <v>59</v>
      </c>
      <c r="C45" s="252"/>
      <c r="D45" s="253"/>
      <c r="E45" s="248">
        <f>SUM(F45:J48)</f>
        <v>4</v>
      </c>
      <c r="F45" s="248">
        <f>VLOOKUP($D$5,Growth!$A$3:$F$22,4,0)</f>
        <v>2</v>
      </c>
      <c r="G45" s="248">
        <f>D19</f>
        <v>2</v>
      </c>
      <c r="H45" s="322"/>
      <c r="I45" s="248">
        <f>'[1]Feats&amp;Traits'!I2</f>
        <v>0</v>
      </c>
      <c r="J45" s="54"/>
      <c r="K45" s="51"/>
      <c r="M45" s="161"/>
      <c r="N45" s="163" t="s">
        <v>166</v>
      </c>
      <c r="O45" s="164"/>
      <c r="P45" s="352"/>
      <c r="Q45" s="346">
        <f>IF(M45=0,SUM(U45,W45,Y45),IF(W45&gt;0,SUM(U45,W45,Y45)+3,SUM(U45,W45,Y45)))</f>
        <v>1</v>
      </c>
      <c r="R45" s="340"/>
      <c r="S45" s="339" t="s">
        <v>8</v>
      </c>
      <c r="T45" s="340"/>
      <c r="U45" s="353">
        <f>VLOOKUP(S45,Fibonacci89!F$2:H$8,3,0)</f>
        <v>1</v>
      </c>
      <c r="V45" s="357" t="s">
        <v>158</v>
      </c>
      <c r="W45" s="355"/>
      <c r="X45" s="357" t="s">
        <v>158</v>
      </c>
      <c r="Y45" s="359">
        <f>HLOOKUP(N45,'Feats&amp;Traits'!$B$1:$BD$2,2,FALSE)</f>
        <v>0</v>
      </c>
    </row>
    <row r="46" spans="2:25" ht="13.5" customHeight="1">
      <c r="B46" s="254"/>
      <c r="C46" s="255"/>
      <c r="D46" s="256"/>
      <c r="E46" s="249"/>
      <c r="F46" s="249"/>
      <c r="G46" s="249"/>
      <c r="H46" s="323"/>
      <c r="I46" s="249"/>
      <c r="J46" s="55"/>
      <c r="K46" s="51"/>
      <c r="M46" s="162"/>
      <c r="N46" s="163"/>
      <c r="O46" s="164"/>
      <c r="P46" s="352"/>
      <c r="Q46" s="347"/>
      <c r="R46" s="340"/>
      <c r="S46" s="339"/>
      <c r="T46" s="340"/>
      <c r="U46" s="354"/>
      <c r="V46" s="358"/>
      <c r="W46" s="356"/>
      <c r="X46" s="358"/>
      <c r="Y46" s="360"/>
    </row>
    <row r="47" spans="2:25" ht="13.5" customHeight="1">
      <c r="B47" s="254"/>
      <c r="C47" s="255"/>
      <c r="D47" s="256"/>
      <c r="E47" s="249"/>
      <c r="F47" s="249"/>
      <c r="G47" s="249"/>
      <c r="H47" s="323"/>
      <c r="I47" s="249"/>
      <c r="J47" s="55"/>
      <c r="K47" s="51"/>
      <c r="M47" s="161" t="s">
        <v>399</v>
      </c>
      <c r="N47" s="163" t="s">
        <v>389</v>
      </c>
      <c r="O47" s="164"/>
      <c r="P47" s="352"/>
      <c r="Q47" s="346">
        <f>IF(M47=0,SUM(U47,W47,Y47),IF(W47&gt;0,SUM(U47,W47,Y47)+3,SUM(U47,W47,Y47)))</f>
        <v>0</v>
      </c>
      <c r="R47" s="340"/>
      <c r="S47" s="339" t="s">
        <v>6</v>
      </c>
      <c r="T47" s="340"/>
      <c r="U47" s="353">
        <f>VLOOKUP(S47,Fibonacci89!F$2:H$8,3,0)</f>
        <v>0</v>
      </c>
      <c r="V47" s="357" t="s">
        <v>158</v>
      </c>
      <c r="W47" s="355"/>
      <c r="X47" s="357" t="s">
        <v>158</v>
      </c>
      <c r="Y47" s="359">
        <f>HLOOKUP(N47,'Feats&amp;Traits'!$B$1:$BD$2,2,FALSE)</f>
        <v>0</v>
      </c>
    </row>
    <row r="48" spans="2:25" ht="13.5" customHeight="1" thickBot="1">
      <c r="B48" s="257" t="s">
        <v>64</v>
      </c>
      <c r="C48" s="258"/>
      <c r="D48" s="259"/>
      <c r="E48" s="250"/>
      <c r="F48" s="250"/>
      <c r="G48" s="250"/>
      <c r="H48" s="324"/>
      <c r="I48" s="250"/>
      <c r="J48" s="56"/>
      <c r="K48" s="52"/>
      <c r="M48" s="162"/>
      <c r="N48" s="163"/>
      <c r="O48" s="164"/>
      <c r="P48" s="352"/>
      <c r="Q48" s="347"/>
      <c r="R48" s="340"/>
      <c r="S48" s="339"/>
      <c r="T48" s="340"/>
      <c r="U48" s="354"/>
      <c r="V48" s="358"/>
      <c r="W48" s="356"/>
      <c r="X48" s="358"/>
      <c r="Y48" s="360"/>
    </row>
    <row r="49" spans="2:25" ht="13.5" customHeight="1">
      <c r="B49" s="254" t="s">
        <v>60</v>
      </c>
      <c r="C49" s="255"/>
      <c r="D49" s="256"/>
      <c r="E49" s="248">
        <f>SUM(F49:J52)</f>
        <v>3</v>
      </c>
      <c r="F49" s="248">
        <f>VLOOKUP($D$5,Growth!$A$3:$F$22,5,0)</f>
        <v>0</v>
      </c>
      <c r="G49" s="248">
        <f>D15</f>
        <v>3</v>
      </c>
      <c r="H49" s="322"/>
      <c r="I49" s="248">
        <f>'[1]Feats&amp;Traits'!J2</f>
        <v>0</v>
      </c>
      <c r="J49" s="54"/>
      <c r="K49" s="51"/>
      <c r="M49" s="161"/>
      <c r="N49" s="163" t="s">
        <v>390</v>
      </c>
      <c r="O49" s="164"/>
      <c r="P49" s="352"/>
      <c r="Q49" s="346">
        <f>IF(M49=0,SUM(U49,W49,Y49),IF(W49&gt;0,SUM(U49,W49,Y49)+3,SUM(U49,W49,Y49)))</f>
        <v>0</v>
      </c>
      <c r="R49" s="340"/>
      <c r="S49" s="339" t="s">
        <v>6</v>
      </c>
      <c r="T49" s="340"/>
      <c r="U49" s="353">
        <f>VLOOKUP(S49,Fibonacci89!F$2:H$8,3,0)</f>
        <v>0</v>
      </c>
      <c r="V49" s="357" t="s">
        <v>158</v>
      </c>
      <c r="W49" s="355"/>
      <c r="X49" s="357" t="s">
        <v>158</v>
      </c>
      <c r="Y49" s="359">
        <f>HLOOKUP(N49,'Feats&amp;Traits'!$B$1:$BD$2,2,FALSE)</f>
        <v>0</v>
      </c>
    </row>
    <row r="50" spans="2:25" ht="13.5" customHeight="1">
      <c r="B50" s="254"/>
      <c r="C50" s="255"/>
      <c r="D50" s="256"/>
      <c r="E50" s="249"/>
      <c r="F50" s="249"/>
      <c r="G50" s="249"/>
      <c r="H50" s="323"/>
      <c r="I50" s="249"/>
      <c r="J50" s="55"/>
      <c r="K50" s="51"/>
      <c r="M50" s="162"/>
      <c r="N50" s="163"/>
      <c r="O50" s="164"/>
      <c r="P50" s="352"/>
      <c r="Q50" s="347"/>
      <c r="R50" s="340"/>
      <c r="S50" s="339"/>
      <c r="T50" s="340"/>
      <c r="U50" s="354"/>
      <c r="V50" s="358"/>
      <c r="W50" s="356"/>
      <c r="X50" s="358"/>
      <c r="Y50" s="360"/>
    </row>
    <row r="51" spans="2:25" ht="13.5" customHeight="1">
      <c r="B51" s="254"/>
      <c r="C51" s="255"/>
      <c r="D51" s="256"/>
      <c r="E51" s="249"/>
      <c r="F51" s="249"/>
      <c r="G51" s="249"/>
      <c r="H51" s="323"/>
      <c r="I51" s="249"/>
      <c r="J51" s="55"/>
      <c r="K51" s="51"/>
      <c r="M51" s="161"/>
      <c r="N51" s="163" t="s">
        <v>391</v>
      </c>
      <c r="O51" s="164"/>
      <c r="P51" s="352"/>
      <c r="Q51" s="346">
        <f>IF(M51=0,SUM(U51,W51,Y51),IF(W51&gt;0,SUM(U51,W51,Y51)+3,SUM(U51,W51,Y51)))</f>
        <v>0</v>
      </c>
      <c r="R51" s="340"/>
      <c r="S51" s="339" t="s">
        <v>6</v>
      </c>
      <c r="T51" s="340"/>
      <c r="U51" s="353">
        <f>VLOOKUP(S51,Fibonacci89!F$2:H$8,3,0)</f>
        <v>0</v>
      </c>
      <c r="V51" s="357" t="s">
        <v>158</v>
      </c>
      <c r="W51" s="355"/>
      <c r="X51" s="357" t="s">
        <v>158</v>
      </c>
      <c r="Y51" s="359">
        <f>HLOOKUP(N51,'Feats&amp;Traits'!$B$1:$BD$2,2,FALSE)</f>
        <v>0</v>
      </c>
    </row>
    <row r="52" spans="2:25" ht="13.5" customHeight="1" thickBot="1">
      <c r="B52" s="257" t="s">
        <v>63</v>
      </c>
      <c r="C52" s="258"/>
      <c r="D52" s="259"/>
      <c r="E52" s="250"/>
      <c r="F52" s="250"/>
      <c r="G52" s="250"/>
      <c r="H52" s="324"/>
      <c r="I52" s="250"/>
      <c r="J52" s="56"/>
      <c r="K52" s="52"/>
      <c r="M52" s="162"/>
      <c r="N52" s="163"/>
      <c r="O52" s="164"/>
      <c r="P52" s="352"/>
      <c r="Q52" s="347"/>
      <c r="R52" s="340"/>
      <c r="S52" s="339"/>
      <c r="T52" s="340"/>
      <c r="U52" s="354"/>
      <c r="V52" s="358"/>
      <c r="W52" s="356"/>
      <c r="X52" s="358"/>
      <c r="Y52" s="360"/>
    </row>
    <row r="53" spans="2:25" ht="13.5" customHeight="1">
      <c r="B53" s="254" t="s">
        <v>61</v>
      </c>
      <c r="C53" s="255"/>
      <c r="D53" s="256"/>
      <c r="E53" s="248">
        <f>SUM(F53:J56)</f>
        <v>5</v>
      </c>
      <c r="F53" s="248">
        <f>VLOOKUP($D$5,Growth!$A$3:$F$22,6,0)</f>
        <v>2</v>
      </c>
      <c r="G53" s="248">
        <f>D27</f>
        <v>3</v>
      </c>
      <c r="H53" s="322"/>
      <c r="I53" s="248">
        <f>'[1]Feats&amp;Traits'!K2</f>
        <v>0</v>
      </c>
      <c r="J53" s="54"/>
      <c r="K53" s="51"/>
      <c r="M53" s="161"/>
      <c r="N53" s="163" t="s">
        <v>392</v>
      </c>
      <c r="O53" s="164"/>
      <c r="P53" s="352"/>
      <c r="Q53" s="346">
        <f t="shared" ref="Q53" si="5">IF(M53=0,SUM(U53,W53,Y53),IF(W53&gt;0,SUM(U53,W53,Y53)+3,SUM(U53,W53,Y53)))</f>
        <v>0</v>
      </c>
      <c r="R53" s="340"/>
      <c r="S53" s="339" t="s">
        <v>6</v>
      </c>
      <c r="T53" s="340"/>
      <c r="U53" s="353">
        <f>VLOOKUP(S53,Fibonacci89!F$2:H$8,3,0)</f>
        <v>0</v>
      </c>
      <c r="V53" s="357" t="s">
        <v>158</v>
      </c>
      <c r="W53" s="355"/>
      <c r="X53" s="357" t="s">
        <v>158</v>
      </c>
      <c r="Y53" s="359">
        <f>HLOOKUP(N53,'Feats&amp;Traits'!$B$1:$BD$2,2,FALSE)</f>
        <v>0</v>
      </c>
    </row>
    <row r="54" spans="2:25" ht="13.5" customHeight="1">
      <c r="B54" s="254"/>
      <c r="C54" s="255"/>
      <c r="D54" s="256"/>
      <c r="E54" s="249"/>
      <c r="F54" s="249"/>
      <c r="G54" s="249"/>
      <c r="H54" s="323"/>
      <c r="I54" s="249"/>
      <c r="J54" s="55"/>
      <c r="K54" s="51"/>
      <c r="M54" s="162"/>
      <c r="N54" s="163"/>
      <c r="O54" s="164"/>
      <c r="P54" s="352"/>
      <c r="Q54" s="347"/>
      <c r="R54" s="340"/>
      <c r="S54" s="339"/>
      <c r="T54" s="340"/>
      <c r="U54" s="354"/>
      <c r="V54" s="358"/>
      <c r="W54" s="356"/>
      <c r="X54" s="358"/>
      <c r="Y54" s="360"/>
    </row>
    <row r="55" spans="2:25" ht="13.5" customHeight="1">
      <c r="B55" s="254"/>
      <c r="C55" s="255"/>
      <c r="D55" s="256"/>
      <c r="E55" s="249"/>
      <c r="F55" s="249"/>
      <c r="G55" s="249"/>
      <c r="H55" s="323"/>
      <c r="I55" s="249"/>
      <c r="J55" s="55"/>
      <c r="K55" s="51"/>
      <c r="M55" s="161" t="s">
        <v>399</v>
      </c>
      <c r="N55" s="163" t="s">
        <v>393</v>
      </c>
      <c r="O55" s="164"/>
      <c r="P55" s="352"/>
      <c r="Q55" s="346">
        <f t="shared" ref="Q55" si="6">IF(M55=0,SUM(U55,W55,Y55),IF(W55&gt;0,SUM(U55,W55,Y55)+3,SUM(U55,W55,Y55)))</f>
        <v>0</v>
      </c>
      <c r="R55" s="340"/>
      <c r="S55" s="339" t="s">
        <v>6</v>
      </c>
      <c r="T55" s="340"/>
      <c r="U55" s="353">
        <f>VLOOKUP(S55,Fibonacci89!F$2:H$8,3,0)</f>
        <v>0</v>
      </c>
      <c r="V55" s="357" t="s">
        <v>158</v>
      </c>
      <c r="W55" s="355"/>
      <c r="X55" s="357" t="s">
        <v>158</v>
      </c>
      <c r="Y55" s="359">
        <f>HLOOKUP(N55,'Feats&amp;Traits'!$B$1:$BD$2,2,FALSE)</f>
        <v>0</v>
      </c>
    </row>
    <row r="56" spans="2:25" ht="13.5" customHeight="1" thickBot="1">
      <c r="B56" s="245" t="s">
        <v>62</v>
      </c>
      <c r="C56" s="246"/>
      <c r="D56" s="247"/>
      <c r="E56" s="250"/>
      <c r="F56" s="250"/>
      <c r="G56" s="250"/>
      <c r="H56" s="324"/>
      <c r="I56" s="250"/>
      <c r="J56" s="56"/>
      <c r="K56" s="53"/>
      <c r="M56" s="162"/>
      <c r="N56" s="163"/>
      <c r="O56" s="164"/>
      <c r="P56" s="352"/>
      <c r="Q56" s="347"/>
      <c r="R56" s="340"/>
      <c r="S56" s="339"/>
      <c r="T56" s="340"/>
      <c r="U56" s="354"/>
      <c r="V56" s="358"/>
      <c r="W56" s="356"/>
      <c r="X56" s="358"/>
      <c r="Y56" s="360"/>
    </row>
    <row r="57" spans="2:25" ht="13.5" customHeight="1" thickBot="1">
      <c r="M57" s="161"/>
      <c r="N57" s="163" t="s">
        <v>394</v>
      </c>
      <c r="O57" s="164"/>
      <c r="P57" s="352"/>
      <c r="Q57" s="346">
        <f t="shared" ref="Q57" si="7">IF(M57=0,SUM(U57,W57,Y57),IF(W57&gt;0,SUM(U57,W57,Y57)+3,SUM(U57,W57,Y57)))</f>
        <v>0</v>
      </c>
      <c r="R57" s="340"/>
      <c r="S57" s="339" t="s">
        <v>6</v>
      </c>
      <c r="T57" s="340"/>
      <c r="U57" s="353">
        <f>VLOOKUP(S57,Fibonacci89!F$2:H$8,3,0)</f>
        <v>0</v>
      </c>
      <c r="V57" s="357" t="s">
        <v>158</v>
      </c>
      <c r="W57" s="355"/>
      <c r="X57" s="357" t="s">
        <v>158</v>
      </c>
      <c r="Y57" s="359">
        <f>HLOOKUP(N57,'Feats&amp;Traits'!$B$1:$BD$2,2,FALSE)</f>
        <v>0</v>
      </c>
    </row>
    <row r="58" spans="2:25" ht="13.5" customHeight="1">
      <c r="B58" s="316" t="s">
        <v>314</v>
      </c>
      <c r="C58" s="317"/>
      <c r="D58" s="317"/>
      <c r="E58" s="317"/>
      <c r="F58" s="442" t="str">
        <f>VLOOKUP(D5,Growth!A3:C22,2,0)</f>
        <v>+0</v>
      </c>
      <c r="G58" s="443"/>
      <c r="H58" s="267" t="s">
        <v>208</v>
      </c>
      <c r="I58" s="268"/>
      <c r="J58" s="269"/>
      <c r="K58" s="264">
        <v>0</v>
      </c>
      <c r="M58" s="162"/>
      <c r="N58" s="163"/>
      <c r="O58" s="164"/>
      <c r="P58" s="352"/>
      <c r="Q58" s="347"/>
      <c r="R58" s="340"/>
      <c r="S58" s="339"/>
      <c r="T58" s="340"/>
      <c r="U58" s="354"/>
      <c r="V58" s="358"/>
      <c r="W58" s="356"/>
      <c r="X58" s="358"/>
      <c r="Y58" s="360"/>
    </row>
    <row r="59" spans="2:25" ht="13.5" customHeight="1">
      <c r="B59" s="318"/>
      <c r="C59" s="319"/>
      <c r="D59" s="319"/>
      <c r="E59" s="319"/>
      <c r="F59" s="444"/>
      <c r="G59" s="445"/>
      <c r="H59" s="270"/>
      <c r="I59" s="271"/>
      <c r="J59" s="272"/>
      <c r="K59" s="265"/>
      <c r="M59" s="161"/>
      <c r="N59" s="163" t="s">
        <v>395</v>
      </c>
      <c r="O59" s="164"/>
      <c r="P59" s="352"/>
      <c r="Q59" s="346">
        <f t="shared" ref="Q59" si="8">IF(M59=0,SUM(U59,W59,Y59),IF(W59&gt;0,SUM(U59,W59,Y59)+3,SUM(U59,W59,Y59)))</f>
        <v>0</v>
      </c>
      <c r="R59" s="340"/>
      <c r="S59" s="339" t="s">
        <v>6</v>
      </c>
      <c r="T59" s="340"/>
      <c r="U59" s="353">
        <f>VLOOKUP(S59,Fibonacci89!F$2:H$8,3,0)</f>
        <v>0</v>
      </c>
      <c r="V59" s="357" t="s">
        <v>158</v>
      </c>
      <c r="W59" s="355"/>
      <c r="X59" s="357" t="s">
        <v>158</v>
      </c>
      <c r="Y59" s="359">
        <f>HLOOKUP(N59,'Feats&amp;Traits'!$B$1:$BD$2,2,FALSE)</f>
        <v>0</v>
      </c>
    </row>
    <row r="60" spans="2:25" ht="13.5" customHeight="1" thickBot="1">
      <c r="B60" s="320"/>
      <c r="C60" s="321"/>
      <c r="D60" s="321"/>
      <c r="E60" s="321"/>
      <c r="F60" s="446"/>
      <c r="G60" s="447"/>
      <c r="H60" s="273"/>
      <c r="I60" s="274"/>
      <c r="J60" s="275"/>
      <c r="K60" s="266"/>
      <c r="M60" s="162"/>
      <c r="N60" s="163"/>
      <c r="O60" s="164"/>
      <c r="P60" s="352"/>
      <c r="Q60" s="347"/>
      <c r="R60" s="340"/>
      <c r="S60" s="339"/>
      <c r="T60" s="340"/>
      <c r="U60" s="354"/>
      <c r="V60" s="358"/>
      <c r="W60" s="356"/>
      <c r="X60" s="358"/>
      <c r="Y60" s="360"/>
    </row>
    <row r="61" spans="2:25" ht="13.5" customHeight="1" thickBot="1">
      <c r="M61" s="161" t="s">
        <v>399</v>
      </c>
      <c r="N61" s="163" t="s">
        <v>396</v>
      </c>
      <c r="O61" s="164"/>
      <c r="P61" s="352"/>
      <c r="Q61" s="346">
        <f t="shared" ref="Q61" si="9">IF(M61=0,SUM(U61,W61,Y61),IF(W61&gt;0,SUM(U61,W61,Y61)+3,SUM(U61,W61,Y61)))</f>
        <v>0</v>
      </c>
      <c r="R61" s="340"/>
      <c r="S61" s="339" t="s">
        <v>6</v>
      </c>
      <c r="T61" s="340"/>
      <c r="U61" s="353">
        <f>VLOOKUP(S61,Fibonacci89!F$2:H$8,3,0)</f>
        <v>0</v>
      </c>
      <c r="V61" s="357" t="s">
        <v>158</v>
      </c>
      <c r="W61" s="355"/>
      <c r="X61" s="357" t="s">
        <v>158</v>
      </c>
      <c r="Y61" s="359">
        <f>HLOOKUP(N61,'Feats&amp;Traits'!$B$1:$BD$2,2,FALSE)</f>
        <v>0</v>
      </c>
    </row>
    <row r="62" spans="2:25" ht="13.5" customHeight="1">
      <c r="B62" s="305" t="s">
        <v>81</v>
      </c>
      <c r="C62" s="248">
        <f>SUM(E62:G65)</f>
        <v>-2</v>
      </c>
      <c r="D62" s="303" t="s">
        <v>77</v>
      </c>
      <c r="E62" s="248">
        <f>VLOOKUP($D$5,Growth!$A$3:$C$22,3,0)</f>
        <v>0</v>
      </c>
      <c r="F62" s="248">
        <f>D11</f>
        <v>-2</v>
      </c>
      <c r="G62" s="248">
        <f>H36</f>
        <v>0</v>
      </c>
      <c r="I62" s="314"/>
      <c r="J62" s="315"/>
      <c r="K62" s="9" t="s">
        <v>80</v>
      </c>
      <c r="M62" s="162"/>
      <c r="N62" s="163"/>
      <c r="O62" s="164"/>
      <c r="P62" s="352"/>
      <c r="Q62" s="347"/>
      <c r="R62" s="340"/>
      <c r="S62" s="339"/>
      <c r="T62" s="340"/>
      <c r="U62" s="354"/>
      <c r="V62" s="358"/>
      <c r="W62" s="356"/>
      <c r="X62" s="358"/>
      <c r="Y62" s="360"/>
    </row>
    <row r="63" spans="2:25" ht="13.5" customHeight="1">
      <c r="B63" s="306"/>
      <c r="C63" s="249"/>
      <c r="D63" s="304"/>
      <c r="E63" s="249"/>
      <c r="F63" s="249"/>
      <c r="G63" s="249"/>
      <c r="I63" s="308"/>
      <c r="J63" s="309"/>
      <c r="K63" s="310"/>
      <c r="M63" s="161" t="s">
        <v>399</v>
      </c>
      <c r="N63" s="163" t="s">
        <v>397</v>
      </c>
      <c r="O63" s="164"/>
      <c r="P63" s="352"/>
      <c r="Q63" s="346">
        <f t="shared" ref="Q63" si="10">IF(M63=0,SUM(U63,W63,Y63),IF(W63&gt;0,SUM(U63,W63,Y63)+3,SUM(U63,W63,Y63)))</f>
        <v>0</v>
      </c>
      <c r="R63" s="340"/>
      <c r="S63" s="339" t="s">
        <v>6</v>
      </c>
      <c r="T63" s="340"/>
      <c r="U63" s="353">
        <f>VLOOKUP(S63,Fibonacci89!F$2:H$8,3,0)</f>
        <v>0</v>
      </c>
      <c r="V63" s="357" t="s">
        <v>158</v>
      </c>
      <c r="W63" s="355"/>
      <c r="X63" s="357" t="s">
        <v>158</v>
      </c>
      <c r="Y63" s="359">
        <f>HLOOKUP(N63,'Feats&amp;Traits'!$B$1:$BD$2,2,FALSE)</f>
        <v>0</v>
      </c>
    </row>
    <row r="64" spans="2:25" ht="13.5" customHeight="1">
      <c r="B64" s="306"/>
      <c r="C64" s="249"/>
      <c r="D64" s="304"/>
      <c r="E64" s="249"/>
      <c r="F64" s="249"/>
      <c r="G64" s="249"/>
      <c r="I64" s="308"/>
      <c r="J64" s="309"/>
      <c r="K64" s="310"/>
      <c r="M64" s="162"/>
      <c r="N64" s="163"/>
      <c r="O64" s="164"/>
      <c r="P64" s="352"/>
      <c r="Q64" s="347"/>
      <c r="R64" s="340"/>
      <c r="S64" s="339"/>
      <c r="T64" s="340"/>
      <c r="U64" s="354"/>
      <c r="V64" s="358"/>
      <c r="W64" s="356"/>
      <c r="X64" s="358"/>
      <c r="Y64" s="360"/>
    </row>
    <row r="65" spans="2:25" ht="13.5" customHeight="1" thickBot="1">
      <c r="B65" s="307"/>
      <c r="C65" s="250"/>
      <c r="D65" s="304"/>
      <c r="E65" s="250"/>
      <c r="F65" s="250"/>
      <c r="G65" s="250"/>
      <c r="I65" s="308"/>
      <c r="J65" s="309"/>
      <c r="K65" s="310"/>
      <c r="M65" s="161" t="s">
        <v>399</v>
      </c>
      <c r="N65" s="163" t="s">
        <v>398</v>
      </c>
      <c r="O65" s="164"/>
      <c r="P65" s="352"/>
      <c r="Q65" s="346">
        <f t="shared" ref="Q65" si="11">IF(M65=0,SUM(U65,W65,Y65),IF(W65&gt;0,SUM(U65,W65,Y65)+3,SUM(U65,W65,Y65)))</f>
        <v>0</v>
      </c>
      <c r="R65" s="340"/>
      <c r="S65" s="339" t="s">
        <v>6</v>
      </c>
      <c r="T65" s="340"/>
      <c r="U65" s="353">
        <f>VLOOKUP(S65,Fibonacci89!F$2:H$8,3,0)</f>
        <v>0</v>
      </c>
      <c r="V65" s="357" t="s">
        <v>158</v>
      </c>
      <c r="W65" s="355"/>
      <c r="X65" s="357" t="s">
        <v>158</v>
      </c>
      <c r="Y65" s="359">
        <f>HLOOKUP(N65,'Feats&amp;Traits'!$B$1:$BD$2,2,FALSE)</f>
        <v>0</v>
      </c>
    </row>
    <row r="66" spans="2:25" ht="13.5" customHeight="1">
      <c r="C66" s="17" t="s">
        <v>29</v>
      </c>
      <c r="E66" s="18" t="s">
        <v>83</v>
      </c>
      <c r="F66" s="18" t="s">
        <v>3</v>
      </c>
      <c r="G66" s="18" t="s">
        <v>32</v>
      </c>
      <c r="I66" s="308"/>
      <c r="J66" s="309"/>
      <c r="K66" s="310"/>
      <c r="M66" s="162"/>
      <c r="N66" s="163"/>
      <c r="O66" s="164"/>
      <c r="P66" s="352"/>
      <c r="Q66" s="347"/>
      <c r="R66" s="340"/>
      <c r="S66" s="339"/>
      <c r="T66" s="340"/>
      <c r="U66" s="354"/>
      <c r="V66" s="358"/>
      <c r="W66" s="356"/>
      <c r="X66" s="358"/>
      <c r="Y66" s="360"/>
    </row>
    <row r="67" spans="2:25" ht="13.5" customHeight="1" thickBot="1">
      <c r="E67" s="18" t="s">
        <v>27</v>
      </c>
      <c r="F67" s="18" t="s">
        <v>11</v>
      </c>
      <c r="G67" s="18" t="s">
        <v>11</v>
      </c>
      <c r="I67" s="308"/>
      <c r="J67" s="309"/>
      <c r="K67" s="310"/>
      <c r="M67" s="161" t="s">
        <v>399</v>
      </c>
      <c r="N67" s="163" t="s">
        <v>169</v>
      </c>
      <c r="O67" s="164"/>
      <c r="P67" s="352"/>
      <c r="Q67" s="346">
        <f t="shared" ref="Q67" si="12">IF(M67=0,SUM(U67,W67,Y67),IF(W67&gt;0,SUM(U67,W67,Y67)+3,SUM(U67,W67,Y67)))</f>
        <v>0</v>
      </c>
      <c r="R67" s="340"/>
      <c r="S67" s="339" t="s">
        <v>6</v>
      </c>
      <c r="T67" s="340"/>
      <c r="U67" s="353">
        <f>VLOOKUP(S67,Fibonacci89!F$2:H$8,3,0)</f>
        <v>0</v>
      </c>
      <c r="V67" s="357" t="s">
        <v>158</v>
      </c>
      <c r="W67" s="355"/>
      <c r="X67" s="357" t="s">
        <v>158</v>
      </c>
      <c r="Y67" s="359">
        <f>HLOOKUP(N67,'Feats&amp;Traits'!$B$1:$BD$2,2,FALSE)</f>
        <v>0</v>
      </c>
    </row>
    <row r="68" spans="2:25" ht="13.5" customHeight="1">
      <c r="B68" s="305" t="s">
        <v>82</v>
      </c>
      <c r="C68" s="248">
        <f>10+SUM(E68:H71)</f>
        <v>11</v>
      </c>
      <c r="D68" s="303" t="s">
        <v>56</v>
      </c>
      <c r="E68" s="248">
        <f>VLOOKUP($D$5,Growth!$A$3:$C$22,3,0)</f>
        <v>0</v>
      </c>
      <c r="F68" s="248">
        <f>D11</f>
        <v>-2</v>
      </c>
      <c r="G68" s="248">
        <f>D15</f>
        <v>3</v>
      </c>
      <c r="H68" s="300">
        <f>H36</f>
        <v>0</v>
      </c>
      <c r="I68" s="308"/>
      <c r="J68" s="309"/>
      <c r="K68" s="310"/>
      <c r="M68" s="162"/>
      <c r="N68" s="163"/>
      <c r="O68" s="164"/>
      <c r="P68" s="352"/>
      <c r="Q68" s="347"/>
      <c r="R68" s="340"/>
      <c r="S68" s="339"/>
      <c r="T68" s="340"/>
      <c r="U68" s="354"/>
      <c r="V68" s="358"/>
      <c r="W68" s="356"/>
      <c r="X68" s="358"/>
      <c r="Y68" s="360"/>
    </row>
    <row r="69" spans="2:25" ht="13.5" customHeight="1">
      <c r="B69" s="306"/>
      <c r="C69" s="249"/>
      <c r="D69" s="304"/>
      <c r="E69" s="249"/>
      <c r="F69" s="249"/>
      <c r="G69" s="249"/>
      <c r="H69" s="301"/>
      <c r="I69" s="308"/>
      <c r="J69" s="309"/>
      <c r="K69" s="310"/>
      <c r="M69" s="161"/>
      <c r="N69" s="163" t="s">
        <v>370</v>
      </c>
      <c r="O69" s="164"/>
      <c r="P69" s="352"/>
      <c r="Q69" s="346">
        <f t="shared" ref="Q69" si="13">IF(M69=0,SUM(U69,W69,Y69),IF(W69&gt;0,SUM(U69,W69,Y69)+3,SUM(U69,W69,Y69)))</f>
        <v>3</v>
      </c>
      <c r="R69" s="340"/>
      <c r="S69" s="339" t="s">
        <v>7</v>
      </c>
      <c r="T69" s="340"/>
      <c r="U69" s="353">
        <f>VLOOKUP(S69,Fibonacci89!F$2:H$8,3,0)</f>
        <v>3</v>
      </c>
      <c r="V69" s="357" t="s">
        <v>158</v>
      </c>
      <c r="W69" s="355"/>
      <c r="X69" s="357" t="s">
        <v>158</v>
      </c>
      <c r="Y69" s="359">
        <f>HLOOKUP(N69,'Feats&amp;Traits'!$B$1:$BD$2,2,FALSE)</f>
        <v>0</v>
      </c>
    </row>
    <row r="70" spans="2:25" ht="13.5" customHeight="1">
      <c r="B70" s="306"/>
      <c r="C70" s="249"/>
      <c r="D70" s="304"/>
      <c r="E70" s="249"/>
      <c r="F70" s="249"/>
      <c r="G70" s="249"/>
      <c r="H70" s="301"/>
      <c r="I70" s="308"/>
      <c r="J70" s="309"/>
      <c r="K70" s="310"/>
      <c r="M70" s="162"/>
      <c r="N70" s="163"/>
      <c r="O70" s="164"/>
      <c r="P70" s="352"/>
      <c r="Q70" s="347"/>
      <c r="R70" s="340"/>
      <c r="S70" s="339"/>
      <c r="T70" s="340"/>
      <c r="U70" s="354"/>
      <c r="V70" s="358"/>
      <c r="W70" s="356"/>
      <c r="X70" s="358"/>
      <c r="Y70" s="360"/>
    </row>
    <row r="71" spans="2:25" ht="13.5" customHeight="1" thickBot="1">
      <c r="B71" s="307"/>
      <c r="C71" s="250"/>
      <c r="D71" s="304"/>
      <c r="E71" s="250"/>
      <c r="F71" s="250"/>
      <c r="G71" s="250"/>
      <c r="H71" s="302"/>
      <c r="I71" s="311"/>
      <c r="J71" s="312"/>
      <c r="K71" s="313"/>
      <c r="M71" s="161" t="s">
        <v>399</v>
      </c>
      <c r="N71" s="163" t="s">
        <v>377</v>
      </c>
      <c r="O71" s="165"/>
      <c r="P71" s="352"/>
      <c r="Q71" s="346">
        <f t="shared" ref="Q71" si="14">IF(M71=0,SUM(U71,W71,Y71),IF(W71&gt;0,SUM(U71,W71,Y71)+3,SUM(U71,W71,Y71)))</f>
        <v>1</v>
      </c>
      <c r="R71" s="340"/>
      <c r="S71" s="339" t="s">
        <v>8</v>
      </c>
      <c r="T71" s="340"/>
      <c r="U71" s="353">
        <f>VLOOKUP(S71,Fibonacci89!F$2:H$8,3,0)</f>
        <v>1</v>
      </c>
      <c r="V71" s="357" t="s">
        <v>158</v>
      </c>
      <c r="W71" s="355"/>
      <c r="X71" s="357" t="s">
        <v>158</v>
      </c>
      <c r="Y71" s="359">
        <f>HLOOKUP(N71,'Feats&amp;Traits'!$B$1:$BD$2,2,FALSE)</f>
        <v>0</v>
      </c>
    </row>
    <row r="72" spans="2:25" ht="13.5" customHeight="1">
      <c r="C72" s="17" t="s">
        <v>29</v>
      </c>
      <c r="E72" s="18" t="s">
        <v>83</v>
      </c>
      <c r="F72" s="18" t="s">
        <v>3</v>
      </c>
      <c r="G72" s="18" t="s">
        <v>4</v>
      </c>
      <c r="H72" s="18" t="s">
        <v>32</v>
      </c>
      <c r="M72" s="162"/>
      <c r="N72" s="163"/>
      <c r="O72" s="166"/>
      <c r="P72" s="352"/>
      <c r="Q72" s="347"/>
      <c r="R72" s="340"/>
      <c r="S72" s="339"/>
      <c r="T72" s="340"/>
      <c r="U72" s="354"/>
      <c r="V72" s="358"/>
      <c r="W72" s="356"/>
      <c r="X72" s="358"/>
      <c r="Y72" s="360"/>
    </row>
    <row r="73" spans="2:25" ht="13.5" customHeight="1">
      <c r="E73" s="18" t="s">
        <v>27</v>
      </c>
      <c r="F73" s="18" t="s">
        <v>11</v>
      </c>
      <c r="G73" s="18" t="s">
        <v>11</v>
      </c>
      <c r="H73" s="18" t="s">
        <v>11</v>
      </c>
      <c r="M73" s="161" t="s">
        <v>399</v>
      </c>
      <c r="N73" s="163" t="s">
        <v>378</v>
      </c>
      <c r="O73" s="165"/>
      <c r="P73" s="352"/>
      <c r="Q73" s="346">
        <f t="shared" ref="Q73" si="15">IF(M73=0,SUM(U73,W73,Y73),IF(W73&gt;0,SUM(U73,W73,Y73)+3,SUM(U73,W73,Y73)))</f>
        <v>1</v>
      </c>
      <c r="R73" s="340"/>
      <c r="S73" s="339" t="s">
        <v>8</v>
      </c>
      <c r="T73" s="340"/>
      <c r="U73" s="353">
        <f>VLOOKUP(S73,Fibonacci89!F$2:H$8,3,0)</f>
        <v>1</v>
      </c>
      <c r="V73" s="357" t="s">
        <v>158</v>
      </c>
      <c r="W73" s="355"/>
      <c r="X73" s="357" t="s">
        <v>158</v>
      </c>
      <c r="Y73" s="359">
        <f>HLOOKUP(N73,'Feats&amp;Traits'!$B$1:$BD$2,2,FALSE)</f>
        <v>0</v>
      </c>
    </row>
    <row r="74" spans="2:25" ht="13.5" customHeight="1" thickBot="1">
      <c r="M74" s="162"/>
      <c r="N74" s="163"/>
      <c r="O74" s="166"/>
      <c r="P74" s="352"/>
      <c r="Q74" s="347"/>
      <c r="R74" s="340"/>
      <c r="S74" s="339"/>
      <c r="T74" s="340"/>
      <c r="U74" s="354"/>
      <c r="V74" s="358"/>
      <c r="W74" s="356"/>
      <c r="X74" s="358"/>
      <c r="Y74" s="360"/>
    </row>
    <row r="75" spans="2:25" ht="13.5" customHeight="1">
      <c r="B75" s="282" t="s">
        <v>239</v>
      </c>
      <c r="C75" s="283"/>
      <c r="D75" s="283"/>
      <c r="E75" s="283"/>
      <c r="F75" s="284"/>
      <c r="G75" s="233" t="s">
        <v>88</v>
      </c>
      <c r="H75" s="234"/>
      <c r="I75" s="233" t="s">
        <v>87</v>
      </c>
      <c r="J75" s="234"/>
      <c r="K75" s="237" t="s">
        <v>86</v>
      </c>
      <c r="M75" s="161" t="s">
        <v>399</v>
      </c>
      <c r="N75" s="163" t="s">
        <v>379</v>
      </c>
      <c r="O75" s="348"/>
      <c r="P75" s="352"/>
      <c r="Q75" s="346">
        <f t="shared" ref="Q75" si="16">IF(M75=0,SUM(U75,W75,Y75),IF(W75&gt;0,SUM(U75,W75,Y75)+3,SUM(U75,W75,Y75)))</f>
        <v>3</v>
      </c>
      <c r="R75" s="340"/>
      <c r="S75" s="339" t="s">
        <v>7</v>
      </c>
      <c r="T75" s="340"/>
      <c r="U75" s="353">
        <f>VLOOKUP(S75,Fibonacci89!F$2:H$8,3,0)</f>
        <v>3</v>
      </c>
      <c r="V75" s="357" t="s">
        <v>158</v>
      </c>
      <c r="W75" s="355"/>
      <c r="X75" s="357" t="s">
        <v>158</v>
      </c>
      <c r="Y75" s="359">
        <f>HLOOKUP(N75,'Feats&amp;Traits'!$B$1:$BD$2,2,FALSE)</f>
        <v>0</v>
      </c>
    </row>
    <row r="76" spans="2:25" ht="13.5" customHeight="1" thickBot="1">
      <c r="B76" s="285"/>
      <c r="C76" s="286"/>
      <c r="D76" s="286"/>
      <c r="E76" s="286"/>
      <c r="F76" s="287"/>
      <c r="G76" s="235"/>
      <c r="H76" s="236"/>
      <c r="I76" s="235"/>
      <c r="J76" s="236"/>
      <c r="K76" s="238"/>
      <c r="M76" s="162"/>
      <c r="N76" s="163"/>
      <c r="O76" s="349"/>
      <c r="P76" s="352"/>
      <c r="Q76" s="347"/>
      <c r="R76" s="340"/>
      <c r="S76" s="339"/>
      <c r="T76" s="340"/>
      <c r="U76" s="354"/>
      <c r="V76" s="358"/>
      <c r="W76" s="356"/>
      <c r="X76" s="358"/>
      <c r="Y76" s="360"/>
    </row>
    <row r="77" spans="2:25" ht="13.5" customHeight="1">
      <c r="B77" s="288"/>
      <c r="C77" s="289"/>
      <c r="D77" s="289"/>
      <c r="E77" s="289"/>
      <c r="F77" s="290"/>
      <c r="G77" s="262" t="s">
        <v>250</v>
      </c>
      <c r="H77" s="172">
        <f>VLOOKUP(G77,Fibonacci89!F$2:H$8,3,0)</f>
        <v>0</v>
      </c>
      <c r="I77" s="239" t="s">
        <v>250</v>
      </c>
      <c r="J77" s="240"/>
      <c r="K77" s="243" t="s">
        <v>250</v>
      </c>
      <c r="M77" s="161" t="s">
        <v>399</v>
      </c>
      <c r="N77" s="163" t="s">
        <v>380</v>
      </c>
      <c r="O77" s="350"/>
      <c r="P77" s="352"/>
      <c r="Q77" s="346">
        <f t="shared" ref="Q77" si="17">IF(M77=0,SUM(U77,W77,Y77),IF(W77&gt;0,SUM(U77,W77,Y77)+3,SUM(U77,W77,Y77)))</f>
        <v>3</v>
      </c>
      <c r="R77" s="340"/>
      <c r="S77" s="339" t="s">
        <v>7</v>
      </c>
      <c r="T77" s="340"/>
      <c r="U77" s="353">
        <f>VLOOKUP(S77,Fibonacci89!F$2:H$8,3,0)</f>
        <v>3</v>
      </c>
      <c r="V77" s="357" t="s">
        <v>158</v>
      </c>
      <c r="W77" s="355"/>
      <c r="X77" s="357" t="s">
        <v>158</v>
      </c>
      <c r="Y77" s="359">
        <f>HLOOKUP(N77,'Feats&amp;Traits'!$B$1:$BD$2,2,FALSE)</f>
        <v>0</v>
      </c>
    </row>
    <row r="78" spans="2:25" ht="13.5" customHeight="1" thickBot="1">
      <c r="B78" s="291"/>
      <c r="C78" s="292"/>
      <c r="D78" s="292"/>
      <c r="E78" s="292"/>
      <c r="F78" s="293"/>
      <c r="G78" s="263"/>
      <c r="H78" s="173"/>
      <c r="I78" s="241"/>
      <c r="J78" s="242"/>
      <c r="K78" s="244"/>
      <c r="M78" s="162"/>
      <c r="N78" s="163"/>
      <c r="O78" s="351"/>
      <c r="P78" s="352"/>
      <c r="Q78" s="347"/>
      <c r="R78" s="340"/>
      <c r="S78" s="339"/>
      <c r="T78" s="340"/>
      <c r="U78" s="354"/>
      <c r="V78" s="358"/>
      <c r="W78" s="356"/>
      <c r="X78" s="358"/>
      <c r="Y78" s="360"/>
    </row>
    <row r="79" spans="2:25" ht="13.5" customHeight="1" thickBot="1">
      <c r="B79" s="11" t="s">
        <v>89</v>
      </c>
      <c r="C79" s="276" t="s">
        <v>90</v>
      </c>
      <c r="D79" s="277"/>
      <c r="E79" s="260" t="s">
        <v>91</v>
      </c>
      <c r="F79" s="261"/>
      <c r="G79" s="260" t="s">
        <v>106</v>
      </c>
      <c r="H79" s="261"/>
      <c r="I79" s="13" t="s">
        <v>96</v>
      </c>
      <c r="J79" s="15"/>
      <c r="K79" s="14"/>
      <c r="M79" s="161"/>
      <c r="N79" s="163" t="s">
        <v>170</v>
      </c>
      <c r="O79" s="164"/>
      <c r="P79" s="352"/>
      <c r="Q79" s="346">
        <f t="shared" ref="Q79" si="18">IF(M79=0,SUM(U79,W79,Y79),IF(W79&gt;0,SUM(U79,W79,Y79)+3,SUM(U79,W79,Y79)))</f>
        <v>-1</v>
      </c>
      <c r="R79" s="340"/>
      <c r="S79" s="339" t="s">
        <v>4</v>
      </c>
      <c r="T79" s="340"/>
      <c r="U79" s="353">
        <f>VLOOKUP(S79,Fibonacci89!F$2:H$8,3,0)</f>
        <v>3</v>
      </c>
      <c r="V79" s="357" t="s">
        <v>158</v>
      </c>
      <c r="W79" s="355"/>
      <c r="X79" s="357" t="s">
        <v>158</v>
      </c>
      <c r="Y79" s="359">
        <f>HLOOKUP(N79,'Feats&amp;Traits'!$B$1:$BD$2,2,FALSE)</f>
        <v>-4</v>
      </c>
    </row>
    <row r="80" spans="2:25" ht="13.5" customHeight="1">
      <c r="B80" s="243"/>
      <c r="C80" s="278"/>
      <c r="D80" s="279"/>
      <c r="E80" s="278"/>
      <c r="F80" s="279"/>
      <c r="G80" s="239" t="s">
        <v>250</v>
      </c>
      <c r="H80" s="240"/>
      <c r="I80" s="168"/>
      <c r="J80" s="170" t="s">
        <v>158</v>
      </c>
      <c r="K80" s="172">
        <f>HLOOKUP(G80,Fibonacci89!F$10:H$11,2,FALSE)</f>
        <v>0</v>
      </c>
      <c r="M80" s="162"/>
      <c r="N80" s="163"/>
      <c r="O80" s="164"/>
      <c r="P80" s="352"/>
      <c r="Q80" s="347"/>
      <c r="R80" s="340"/>
      <c r="S80" s="339"/>
      <c r="T80" s="340"/>
      <c r="U80" s="354"/>
      <c r="V80" s="358"/>
      <c r="W80" s="356"/>
      <c r="X80" s="358"/>
      <c r="Y80" s="360"/>
    </row>
    <row r="81" spans="2:25" ht="13.5" customHeight="1" thickBot="1">
      <c r="B81" s="244"/>
      <c r="C81" s="280"/>
      <c r="D81" s="281"/>
      <c r="E81" s="280"/>
      <c r="F81" s="281"/>
      <c r="G81" s="241"/>
      <c r="H81" s="242"/>
      <c r="I81" s="169"/>
      <c r="J81" s="171"/>
      <c r="K81" s="173"/>
      <c r="M81" s="161" t="s">
        <v>399</v>
      </c>
      <c r="N81" s="163" t="s">
        <v>171</v>
      </c>
      <c r="O81" s="164"/>
      <c r="P81" s="352"/>
      <c r="Q81" s="346">
        <f t="shared" ref="Q81" si="19">IF(M81=0,SUM(U81,W81,Y81),IF(W81&gt;0,SUM(U81,W81,Y81)+3,SUM(U81,W81,Y81)))</f>
        <v>3</v>
      </c>
      <c r="R81" s="340"/>
      <c r="S81" s="339" t="s">
        <v>7</v>
      </c>
      <c r="T81" s="340"/>
      <c r="U81" s="353">
        <f>VLOOKUP(S81,Fibonacci89!F$2:H$8,3,0)</f>
        <v>3</v>
      </c>
      <c r="V81" s="357" t="s">
        <v>158</v>
      </c>
      <c r="W81" s="355"/>
      <c r="X81" s="357" t="s">
        <v>158</v>
      </c>
      <c r="Y81" s="359">
        <f>HLOOKUP(N81,'Feats&amp;Traits'!$B$1:$BD$2,2,FALSE)</f>
        <v>0</v>
      </c>
    </row>
    <row r="82" spans="2:25" ht="13.5" customHeight="1" thickBot="1">
      <c r="M82" s="162"/>
      <c r="N82" s="163"/>
      <c r="O82" s="164"/>
      <c r="P82" s="352"/>
      <c r="Q82" s="347"/>
      <c r="R82" s="340"/>
      <c r="S82" s="339"/>
      <c r="T82" s="340"/>
      <c r="U82" s="354"/>
      <c r="V82" s="358"/>
      <c r="W82" s="356"/>
      <c r="X82" s="358"/>
      <c r="Y82" s="360"/>
    </row>
    <row r="83" spans="2:25" ht="13.5" customHeight="1">
      <c r="B83" s="282" t="s">
        <v>239</v>
      </c>
      <c r="C83" s="283"/>
      <c r="D83" s="283"/>
      <c r="E83" s="283"/>
      <c r="F83" s="284"/>
      <c r="G83" s="233" t="s">
        <v>88</v>
      </c>
      <c r="H83" s="234"/>
      <c r="I83" s="233" t="s">
        <v>87</v>
      </c>
      <c r="J83" s="234"/>
      <c r="K83" s="237" t="s">
        <v>86</v>
      </c>
      <c r="M83" s="161"/>
      <c r="N83" s="163" t="s">
        <v>172</v>
      </c>
      <c r="O83" s="164"/>
      <c r="P83" s="352"/>
      <c r="Q83" s="346">
        <f t="shared" ref="Q83" si="20">IF(M83=0,SUM(U83,W83,Y83),IF(W83&gt;0,SUM(U83,W83,Y83)+3,SUM(U83,W83,Y83)))</f>
        <v>-1</v>
      </c>
      <c r="R83" s="340"/>
      <c r="S83" s="339" t="s">
        <v>4</v>
      </c>
      <c r="T83" s="340"/>
      <c r="U83" s="353">
        <f>VLOOKUP(S83,Fibonacci89!F$2:H$8,3,0)</f>
        <v>3</v>
      </c>
      <c r="V83" s="357" t="s">
        <v>158</v>
      </c>
      <c r="W83" s="355"/>
      <c r="X83" s="357" t="s">
        <v>158</v>
      </c>
      <c r="Y83" s="359">
        <f>HLOOKUP(N83,'Feats&amp;Traits'!$B$1:$BD$2,2,FALSE)</f>
        <v>-4</v>
      </c>
    </row>
    <row r="84" spans="2:25" ht="13.5" customHeight="1" thickBot="1">
      <c r="B84" s="285"/>
      <c r="C84" s="286"/>
      <c r="D84" s="286"/>
      <c r="E84" s="286"/>
      <c r="F84" s="287"/>
      <c r="G84" s="235"/>
      <c r="H84" s="236"/>
      <c r="I84" s="235"/>
      <c r="J84" s="236"/>
      <c r="K84" s="238"/>
      <c r="M84" s="162"/>
      <c r="N84" s="163"/>
      <c r="O84" s="164"/>
      <c r="P84" s="352"/>
      <c r="Q84" s="347"/>
      <c r="R84" s="340"/>
      <c r="S84" s="339"/>
      <c r="T84" s="340"/>
      <c r="U84" s="354"/>
      <c r="V84" s="358"/>
      <c r="W84" s="356"/>
      <c r="X84" s="358"/>
      <c r="Y84" s="360"/>
    </row>
    <row r="85" spans="2:25" ht="13.5" customHeight="1">
      <c r="B85" s="288"/>
      <c r="C85" s="289"/>
      <c r="D85" s="289"/>
      <c r="E85" s="289"/>
      <c r="F85" s="290"/>
      <c r="G85" s="262" t="s">
        <v>250</v>
      </c>
      <c r="H85" s="172">
        <f>VLOOKUP(G85,Fibonacci89!F$2:H$8,3,0)</f>
        <v>0</v>
      </c>
      <c r="I85" s="239" t="s">
        <v>250</v>
      </c>
      <c r="J85" s="240"/>
      <c r="K85" s="243" t="s">
        <v>250</v>
      </c>
      <c r="M85" s="161" t="s">
        <v>399</v>
      </c>
      <c r="N85" s="163" t="s">
        <v>173</v>
      </c>
      <c r="O85" s="164"/>
      <c r="P85" s="352"/>
      <c r="Q85" s="346">
        <f t="shared" ref="Q85" si="21">IF(M85=0,SUM(U85,W85,Y85),IF(W85&gt;0,SUM(U85,W85,Y85)+3,SUM(U85,W85,Y85)))</f>
        <v>0</v>
      </c>
      <c r="R85" s="340"/>
      <c r="S85" s="339" t="s">
        <v>6</v>
      </c>
      <c r="T85" s="340"/>
      <c r="U85" s="353">
        <f>VLOOKUP(S85,Fibonacci89!F$2:H$8,3,0)</f>
        <v>0</v>
      </c>
      <c r="V85" s="357" t="s">
        <v>158</v>
      </c>
      <c r="W85" s="355"/>
      <c r="X85" s="357" t="s">
        <v>158</v>
      </c>
      <c r="Y85" s="359">
        <f>HLOOKUP(N85,'Feats&amp;Traits'!$B$1:$BD$2,2,FALSE)</f>
        <v>0</v>
      </c>
    </row>
    <row r="86" spans="2:25" ht="13.5" customHeight="1" thickBot="1">
      <c r="B86" s="291"/>
      <c r="C86" s="292"/>
      <c r="D86" s="292"/>
      <c r="E86" s="292"/>
      <c r="F86" s="293"/>
      <c r="G86" s="263"/>
      <c r="H86" s="173"/>
      <c r="I86" s="241"/>
      <c r="J86" s="242"/>
      <c r="K86" s="244"/>
      <c r="M86" s="162"/>
      <c r="N86" s="163"/>
      <c r="O86" s="164"/>
      <c r="P86" s="352"/>
      <c r="Q86" s="347"/>
      <c r="R86" s="340"/>
      <c r="S86" s="339"/>
      <c r="T86" s="340"/>
      <c r="U86" s="354"/>
      <c r="V86" s="358"/>
      <c r="W86" s="356"/>
      <c r="X86" s="358"/>
      <c r="Y86" s="360"/>
    </row>
    <row r="87" spans="2:25" ht="13.5" customHeight="1" thickBot="1">
      <c r="B87" s="11" t="s">
        <v>89</v>
      </c>
      <c r="C87" s="276" t="s">
        <v>90</v>
      </c>
      <c r="D87" s="277"/>
      <c r="E87" s="260" t="s">
        <v>91</v>
      </c>
      <c r="F87" s="261"/>
      <c r="G87" s="260" t="s">
        <v>106</v>
      </c>
      <c r="H87" s="261"/>
      <c r="I87" s="13" t="s">
        <v>96</v>
      </c>
      <c r="J87" s="15"/>
      <c r="K87" s="14"/>
      <c r="M87" s="161"/>
      <c r="N87" s="163" t="s">
        <v>174</v>
      </c>
      <c r="O87" s="164"/>
      <c r="P87" s="352"/>
      <c r="Q87" s="346">
        <f t="shared" ref="Q87" si="22">IF(M87=0,SUM(U87,W87,Y87),IF(W87&gt;0,SUM(U87,W87,Y87)+3,SUM(U87,W87,Y87)))</f>
        <v>-1</v>
      </c>
      <c r="R87" s="340"/>
      <c r="S87" s="339" t="s">
        <v>4</v>
      </c>
      <c r="T87" s="340"/>
      <c r="U87" s="353">
        <f>VLOOKUP(S87,Fibonacci89!F$2:H$8,3,0)</f>
        <v>3</v>
      </c>
      <c r="V87" s="357" t="s">
        <v>158</v>
      </c>
      <c r="W87" s="355"/>
      <c r="X87" s="357" t="s">
        <v>158</v>
      </c>
      <c r="Y87" s="359">
        <f>HLOOKUP(N87,'Feats&amp;Traits'!$B$1:$BD$2,2,FALSE)</f>
        <v>-4</v>
      </c>
    </row>
    <row r="88" spans="2:25" ht="13.5" customHeight="1">
      <c r="B88" s="243"/>
      <c r="C88" s="278"/>
      <c r="D88" s="279"/>
      <c r="E88" s="278"/>
      <c r="F88" s="279"/>
      <c r="G88" s="239" t="s">
        <v>250</v>
      </c>
      <c r="H88" s="240"/>
      <c r="I88" s="168"/>
      <c r="J88" s="170" t="s">
        <v>158</v>
      </c>
      <c r="K88" s="172">
        <f>HLOOKUP(G88,Fibonacci89!F$10:H$11,2,FALSE)</f>
        <v>0</v>
      </c>
      <c r="M88" s="162"/>
      <c r="N88" s="163"/>
      <c r="O88" s="164"/>
      <c r="P88" s="352"/>
      <c r="Q88" s="347"/>
      <c r="R88" s="340"/>
      <c r="S88" s="339"/>
      <c r="T88" s="340"/>
      <c r="U88" s="354"/>
      <c r="V88" s="358"/>
      <c r="W88" s="356"/>
      <c r="X88" s="358"/>
      <c r="Y88" s="360"/>
    </row>
    <row r="89" spans="2:25" ht="13.5" customHeight="1" thickBot="1">
      <c r="B89" s="244"/>
      <c r="C89" s="280"/>
      <c r="D89" s="281"/>
      <c r="E89" s="280"/>
      <c r="F89" s="281"/>
      <c r="G89" s="241"/>
      <c r="H89" s="242"/>
      <c r="I89" s="169"/>
      <c r="J89" s="171"/>
      <c r="K89" s="173"/>
      <c r="M89" s="161"/>
      <c r="N89" s="163" t="s">
        <v>175</v>
      </c>
      <c r="O89" s="164"/>
      <c r="P89" s="352"/>
      <c r="Q89" s="346">
        <f t="shared" ref="Q89:Q91" si="23">IF(M89=0,SUM(U89,W89,Y89),IF(W89&gt;0,SUM(U89,W89,Y89)+3,SUM(U89,W89,Y89)))</f>
        <v>3</v>
      </c>
      <c r="R89" s="340"/>
      <c r="S89" s="339" t="s">
        <v>7</v>
      </c>
      <c r="T89" s="340"/>
      <c r="U89" s="353">
        <f>VLOOKUP(S89,Fibonacci89!F$2:H$8,3,0)</f>
        <v>3</v>
      </c>
      <c r="V89" s="357" t="s">
        <v>158</v>
      </c>
      <c r="W89" s="355"/>
      <c r="X89" s="357" t="s">
        <v>158</v>
      </c>
      <c r="Y89" s="359">
        <f>HLOOKUP(N89,'Feats&amp;Traits'!$B$1:$BD$2,2,FALSE)</f>
        <v>0</v>
      </c>
    </row>
    <row r="90" spans="2:25" ht="13.5" customHeight="1" thickBot="1">
      <c r="M90" s="162"/>
      <c r="N90" s="163"/>
      <c r="O90" s="164"/>
      <c r="P90" s="352"/>
      <c r="Q90" s="347"/>
      <c r="R90" s="340"/>
      <c r="S90" s="339"/>
      <c r="T90" s="340"/>
      <c r="U90" s="354"/>
      <c r="V90" s="358"/>
      <c r="W90" s="356"/>
      <c r="X90" s="358"/>
      <c r="Y90" s="360"/>
    </row>
    <row r="91" spans="2:25" ht="13.5" customHeight="1">
      <c r="B91" s="282" t="s">
        <v>239</v>
      </c>
      <c r="C91" s="283"/>
      <c r="D91" s="283"/>
      <c r="E91" s="283"/>
      <c r="F91" s="284"/>
      <c r="G91" s="233" t="s">
        <v>88</v>
      </c>
      <c r="H91" s="234"/>
      <c r="I91" s="233" t="s">
        <v>87</v>
      </c>
      <c r="J91" s="234"/>
      <c r="K91" s="237" t="s">
        <v>86</v>
      </c>
      <c r="M91" s="161"/>
      <c r="N91" s="163" t="s">
        <v>176</v>
      </c>
      <c r="O91" s="164"/>
      <c r="P91" s="352"/>
      <c r="Q91" s="346">
        <f t="shared" si="23"/>
        <v>-6</v>
      </c>
      <c r="R91" s="340"/>
      <c r="S91" s="339" t="s">
        <v>3</v>
      </c>
      <c r="T91" s="340"/>
      <c r="U91" s="353">
        <f>VLOOKUP(S91,Fibonacci89!F$2:H$8,3,0)</f>
        <v>-2</v>
      </c>
      <c r="V91" s="357" t="s">
        <v>158</v>
      </c>
      <c r="W91" s="355"/>
      <c r="X91" s="357" t="s">
        <v>158</v>
      </c>
      <c r="Y91" s="359">
        <f>HLOOKUP(N91,'Feats&amp;Traits'!$B$1:$BD$2,2,FALSE)</f>
        <v>-4</v>
      </c>
    </row>
    <row r="92" spans="2:25" ht="13.5" customHeight="1" thickBot="1">
      <c r="B92" s="285"/>
      <c r="C92" s="286"/>
      <c r="D92" s="286"/>
      <c r="E92" s="286"/>
      <c r="F92" s="287"/>
      <c r="G92" s="235"/>
      <c r="H92" s="236"/>
      <c r="I92" s="235"/>
      <c r="J92" s="236"/>
      <c r="K92" s="238"/>
      <c r="M92" s="162"/>
      <c r="N92" s="163"/>
      <c r="O92" s="164"/>
      <c r="P92" s="352"/>
      <c r="Q92" s="347"/>
      <c r="R92" s="340"/>
      <c r="S92" s="339"/>
      <c r="T92" s="340"/>
      <c r="U92" s="354"/>
      <c r="V92" s="358"/>
      <c r="W92" s="356"/>
      <c r="X92" s="358"/>
      <c r="Y92" s="360"/>
    </row>
    <row r="93" spans="2:25" ht="13.5" customHeight="1">
      <c r="B93" s="288"/>
      <c r="C93" s="289"/>
      <c r="D93" s="289"/>
      <c r="E93" s="289"/>
      <c r="F93" s="290"/>
      <c r="G93" s="262" t="s">
        <v>250</v>
      </c>
      <c r="H93" s="172">
        <f>IF(G96="NO",VLOOKUP(G93,Fibonacci89!F$2:H$8,3,0),VLOOKUP(G93,Fibonacci89!F$2:I$8,4,0))</f>
        <v>0</v>
      </c>
      <c r="I93" s="239" t="s">
        <v>250</v>
      </c>
      <c r="J93" s="240"/>
      <c r="K93" s="243" t="s">
        <v>250</v>
      </c>
      <c r="L93" s="44"/>
      <c r="M93" s="161"/>
      <c r="N93" s="163" t="s">
        <v>177</v>
      </c>
      <c r="O93" s="164"/>
      <c r="P93" s="352"/>
      <c r="Q93" s="346">
        <f t="shared" ref="Q93" si="24">IF(M93=0,SUM(U93,W93,Y93),IF(W93&gt;0,SUM(U93,W93,Y93)+3,SUM(U93,W93,Y93)))</f>
        <v>1</v>
      </c>
      <c r="R93" s="340"/>
      <c r="S93" s="339" t="s">
        <v>8</v>
      </c>
      <c r="T93" s="340"/>
      <c r="U93" s="353">
        <f>VLOOKUP(S93,Fibonacci89!F$2:H$8,3,0)</f>
        <v>1</v>
      </c>
      <c r="V93" s="357" t="s">
        <v>158</v>
      </c>
      <c r="W93" s="355"/>
      <c r="X93" s="357" t="s">
        <v>158</v>
      </c>
      <c r="Y93" s="359">
        <f>HLOOKUP(N93,'Feats&amp;Traits'!$B$1:$BD$2,2,FALSE)</f>
        <v>0</v>
      </c>
    </row>
    <row r="94" spans="2:25" ht="13.5" customHeight="1" thickBot="1">
      <c r="B94" s="291"/>
      <c r="C94" s="292"/>
      <c r="D94" s="292"/>
      <c r="E94" s="292"/>
      <c r="F94" s="293"/>
      <c r="G94" s="263"/>
      <c r="H94" s="173"/>
      <c r="I94" s="241"/>
      <c r="J94" s="242"/>
      <c r="K94" s="244"/>
      <c r="L94" s="44"/>
      <c r="M94" s="162"/>
      <c r="N94" s="163"/>
      <c r="O94" s="164"/>
      <c r="P94" s="352"/>
      <c r="Q94" s="347"/>
      <c r="R94" s="340"/>
      <c r="S94" s="339"/>
      <c r="T94" s="340"/>
      <c r="U94" s="354"/>
      <c r="V94" s="358"/>
      <c r="W94" s="356"/>
      <c r="X94" s="358"/>
      <c r="Y94" s="360"/>
    </row>
    <row r="95" spans="2:25" ht="13.5" customHeight="1" thickBot="1">
      <c r="B95" s="11" t="s">
        <v>89</v>
      </c>
      <c r="C95" s="276" t="s">
        <v>146</v>
      </c>
      <c r="D95" s="277"/>
      <c r="E95" s="260" t="s">
        <v>91</v>
      </c>
      <c r="F95" s="261"/>
      <c r="G95" s="260" t="s">
        <v>106</v>
      </c>
      <c r="H95" s="261"/>
      <c r="I95" s="13" t="s">
        <v>96</v>
      </c>
      <c r="J95" s="15"/>
      <c r="K95" s="14"/>
      <c r="L95" s="44"/>
      <c r="M95" s="129" t="s">
        <v>182</v>
      </c>
    </row>
    <row r="96" spans="2:25" ht="13.5" customHeight="1">
      <c r="B96" s="243"/>
      <c r="C96" s="278"/>
      <c r="D96" s="279"/>
      <c r="E96" s="278"/>
      <c r="F96" s="279"/>
      <c r="G96" s="239" t="s">
        <v>250</v>
      </c>
      <c r="H96" s="240"/>
      <c r="I96" s="168"/>
      <c r="J96" s="170" t="s">
        <v>158</v>
      </c>
      <c r="K96" s="172">
        <f>HLOOKUP(G96,Fibonacci89!F$10:H$11,2,FALSE)</f>
        <v>0</v>
      </c>
      <c r="L96" s="44"/>
      <c r="M96" s="379" t="s">
        <v>180</v>
      </c>
      <c r="N96" s="379"/>
      <c r="O96" s="379"/>
      <c r="P96" s="379"/>
      <c r="Q96" s="379"/>
      <c r="R96" s="379"/>
      <c r="S96" s="379"/>
      <c r="T96" s="379"/>
      <c r="U96" s="379"/>
      <c r="V96" s="379"/>
      <c r="W96" s="379"/>
      <c r="X96" s="379"/>
      <c r="Y96" s="379"/>
    </row>
    <row r="97" spans="2:29" ht="13.5" customHeight="1" thickBot="1">
      <c r="B97" s="244"/>
      <c r="C97" s="280"/>
      <c r="D97" s="281"/>
      <c r="E97" s="280"/>
      <c r="F97" s="281"/>
      <c r="G97" s="241"/>
      <c r="H97" s="242"/>
      <c r="I97" s="169"/>
      <c r="J97" s="171"/>
      <c r="K97" s="173"/>
      <c r="L97" s="44"/>
      <c r="M97" s="379"/>
      <c r="N97" s="379"/>
      <c r="O97" s="379"/>
      <c r="P97" s="379"/>
      <c r="Q97" s="379"/>
      <c r="R97" s="379"/>
      <c r="S97" s="379"/>
      <c r="T97" s="379"/>
      <c r="U97" s="379"/>
      <c r="V97" s="379"/>
      <c r="W97" s="379"/>
      <c r="X97" s="379"/>
      <c r="Y97" s="379"/>
    </row>
    <row r="98" spans="2:29" ht="13.5" customHeight="1" thickBot="1">
      <c r="L98" s="44"/>
      <c r="M98" s="380"/>
      <c r="N98" s="380"/>
      <c r="O98" s="380"/>
      <c r="P98" s="380"/>
      <c r="Q98" s="380"/>
      <c r="R98" s="380"/>
      <c r="S98" s="380"/>
      <c r="T98" s="380"/>
      <c r="U98" s="380"/>
      <c r="V98" s="380"/>
      <c r="W98" s="380"/>
      <c r="X98" s="380"/>
      <c r="Y98" s="380"/>
    </row>
    <row r="99" spans="2:29" ht="13.5" customHeight="1">
      <c r="B99" s="282" t="s">
        <v>239</v>
      </c>
      <c r="C99" s="283"/>
      <c r="D99" s="283"/>
      <c r="E99" s="283"/>
      <c r="F99" s="284"/>
      <c r="G99" s="233" t="s">
        <v>88</v>
      </c>
      <c r="H99" s="234"/>
      <c r="I99" s="233" t="s">
        <v>87</v>
      </c>
      <c r="J99" s="234"/>
      <c r="K99" s="237" t="s">
        <v>86</v>
      </c>
      <c r="L99" s="44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</row>
    <row r="100" spans="2:29" ht="13.5" customHeight="1" thickBot="1">
      <c r="B100" s="285"/>
      <c r="C100" s="286"/>
      <c r="D100" s="286"/>
      <c r="E100" s="286"/>
      <c r="F100" s="287"/>
      <c r="G100" s="235"/>
      <c r="H100" s="236"/>
      <c r="I100" s="235"/>
      <c r="J100" s="236"/>
      <c r="K100" s="238"/>
      <c r="L100" s="44"/>
      <c r="M100" s="382"/>
      <c r="N100" s="382"/>
      <c r="O100" s="382"/>
      <c r="P100" s="382"/>
      <c r="Q100" s="382"/>
      <c r="R100" s="382"/>
      <c r="S100" s="382"/>
      <c r="T100" s="382"/>
      <c r="U100" s="382"/>
      <c r="V100" s="382"/>
      <c r="W100" s="382"/>
      <c r="X100" s="382"/>
      <c r="Y100" s="382"/>
    </row>
    <row r="101" spans="2:29" ht="13.5" customHeight="1">
      <c r="B101" s="288"/>
      <c r="C101" s="289"/>
      <c r="D101" s="289"/>
      <c r="E101" s="289"/>
      <c r="F101" s="290"/>
      <c r="G101" s="262" t="s">
        <v>250</v>
      </c>
      <c r="H101" s="172">
        <f>IF(G104="NO",VLOOKUP(G101,Fibonacci89!F$2:H$8,3,0),VLOOKUP(G101,Fibonacci89!F$2:I$8,4,0))</f>
        <v>0</v>
      </c>
      <c r="I101" s="239" t="s">
        <v>250</v>
      </c>
      <c r="J101" s="240"/>
      <c r="K101" s="243" t="s">
        <v>250</v>
      </c>
      <c r="L101" s="44"/>
      <c r="M101" s="383"/>
      <c r="N101" s="383"/>
      <c r="O101" s="383"/>
      <c r="P101" s="383"/>
      <c r="Q101" s="383"/>
      <c r="R101" s="383"/>
      <c r="S101" s="383"/>
      <c r="T101" s="383"/>
      <c r="U101" s="383"/>
      <c r="V101" s="383"/>
      <c r="W101" s="383"/>
      <c r="X101" s="383"/>
      <c r="Y101" s="383"/>
    </row>
    <row r="102" spans="2:29" ht="13.5" customHeight="1" thickBot="1">
      <c r="B102" s="291"/>
      <c r="C102" s="292"/>
      <c r="D102" s="292"/>
      <c r="E102" s="292"/>
      <c r="F102" s="293"/>
      <c r="G102" s="263"/>
      <c r="H102" s="173"/>
      <c r="I102" s="241"/>
      <c r="J102" s="242"/>
      <c r="K102" s="244"/>
      <c r="L102" s="44"/>
      <c r="M102" s="380"/>
      <c r="N102" s="380"/>
      <c r="O102" s="380"/>
      <c r="P102" s="380"/>
      <c r="Q102" s="380"/>
      <c r="R102" s="380"/>
      <c r="S102" s="380"/>
      <c r="T102" s="380"/>
      <c r="U102" s="380"/>
      <c r="V102" s="380"/>
      <c r="W102" s="380"/>
      <c r="X102" s="380"/>
      <c r="Y102" s="380"/>
    </row>
    <row r="103" spans="2:29" ht="13.5" customHeight="1" thickBot="1">
      <c r="B103" s="11" t="s">
        <v>89</v>
      </c>
      <c r="C103" s="276" t="s">
        <v>90</v>
      </c>
      <c r="D103" s="277"/>
      <c r="E103" s="260" t="s">
        <v>91</v>
      </c>
      <c r="F103" s="261"/>
      <c r="G103" s="260" t="s">
        <v>106</v>
      </c>
      <c r="H103" s="261"/>
      <c r="I103" s="13" t="s">
        <v>96</v>
      </c>
      <c r="J103" s="15"/>
      <c r="K103" s="14"/>
      <c r="L103" s="44"/>
      <c r="M103" s="381"/>
      <c r="N103" s="381"/>
      <c r="O103" s="381"/>
      <c r="P103" s="381"/>
      <c r="Q103" s="381"/>
      <c r="R103" s="381"/>
      <c r="S103" s="381"/>
      <c r="T103" s="381"/>
      <c r="U103" s="381"/>
      <c r="V103" s="381"/>
      <c r="W103" s="381"/>
      <c r="X103" s="381"/>
      <c r="Y103" s="381"/>
    </row>
    <row r="104" spans="2:29" ht="13.5" customHeight="1">
      <c r="B104" s="243"/>
      <c r="C104" s="278"/>
      <c r="D104" s="279"/>
      <c r="E104" s="278"/>
      <c r="F104" s="279"/>
      <c r="G104" s="239" t="s">
        <v>250</v>
      </c>
      <c r="H104" s="240"/>
      <c r="I104" s="168"/>
      <c r="J104" s="170" t="s">
        <v>158</v>
      </c>
      <c r="K104" s="172">
        <f>HLOOKUP(G104,Fibonacci89!F$10:H$11,2,FALSE)</f>
        <v>0</v>
      </c>
      <c r="L104" s="44"/>
      <c r="M104" s="380"/>
      <c r="N104" s="380"/>
      <c r="O104" s="380"/>
      <c r="P104" s="380"/>
      <c r="Q104" s="380"/>
      <c r="R104" s="380"/>
      <c r="S104" s="380"/>
      <c r="T104" s="380"/>
      <c r="U104" s="380"/>
      <c r="V104" s="380"/>
      <c r="W104" s="380"/>
      <c r="X104" s="380"/>
      <c r="Y104" s="380"/>
    </row>
    <row r="105" spans="2:29" ht="13.5" customHeight="1" thickBot="1">
      <c r="B105" s="244"/>
      <c r="C105" s="280"/>
      <c r="D105" s="281"/>
      <c r="E105" s="280"/>
      <c r="F105" s="281"/>
      <c r="G105" s="241"/>
      <c r="H105" s="242"/>
      <c r="I105" s="169"/>
      <c r="J105" s="171"/>
      <c r="K105" s="173"/>
      <c r="L105" s="44"/>
      <c r="M105" s="381"/>
      <c r="N105" s="381"/>
      <c r="O105" s="381"/>
      <c r="P105" s="381"/>
      <c r="Q105" s="381"/>
      <c r="R105" s="381"/>
      <c r="S105" s="381"/>
      <c r="T105" s="381"/>
      <c r="U105" s="381"/>
      <c r="V105" s="381"/>
      <c r="W105" s="381"/>
      <c r="X105" s="381"/>
      <c r="Y105" s="381"/>
    </row>
    <row r="106" spans="2:29" ht="13.5" customHeight="1" thickBot="1">
      <c r="L106" s="44"/>
      <c r="M106" s="380"/>
      <c r="N106" s="380"/>
      <c r="O106" s="380"/>
      <c r="P106" s="380"/>
      <c r="Q106" s="380"/>
      <c r="R106" s="380"/>
      <c r="S106" s="380"/>
      <c r="T106" s="380"/>
      <c r="U106" s="380"/>
      <c r="V106" s="380"/>
      <c r="W106" s="380"/>
      <c r="X106" s="380"/>
      <c r="Y106" s="380"/>
    </row>
    <row r="107" spans="2:29" ht="13.5" customHeight="1">
      <c r="B107" s="282" t="s">
        <v>239</v>
      </c>
      <c r="C107" s="283"/>
      <c r="D107" s="283"/>
      <c r="E107" s="283"/>
      <c r="F107" s="284"/>
      <c r="G107" s="233" t="s">
        <v>88</v>
      </c>
      <c r="H107" s="234"/>
      <c r="I107" s="233" t="s">
        <v>87</v>
      </c>
      <c r="J107" s="234"/>
      <c r="K107" s="237" t="s">
        <v>86</v>
      </c>
      <c r="L107" s="44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</row>
    <row r="108" spans="2:29" ht="13.5" customHeight="1" thickBot="1">
      <c r="B108" s="285"/>
      <c r="C108" s="286"/>
      <c r="D108" s="286"/>
      <c r="E108" s="286"/>
      <c r="F108" s="287"/>
      <c r="G108" s="235"/>
      <c r="H108" s="236"/>
      <c r="I108" s="235"/>
      <c r="J108" s="236"/>
      <c r="K108" s="238"/>
      <c r="L108" s="44"/>
      <c r="M108" s="176" t="s">
        <v>181</v>
      </c>
      <c r="N108" s="176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</row>
    <row r="109" spans="2:29" ht="13.5" customHeight="1">
      <c r="B109" s="294"/>
      <c r="C109" s="295"/>
      <c r="D109" s="295"/>
      <c r="E109" s="295"/>
      <c r="F109" s="296"/>
      <c r="G109" s="262" t="s">
        <v>250</v>
      </c>
      <c r="H109" s="172">
        <f>IF(G112="NO",VLOOKUP(G109,Fibonacci89!F$2:H$8,3,0),VLOOKUP(G109,Fibonacci89!F$2:I$8,4,0))</f>
        <v>0</v>
      </c>
      <c r="I109" s="239"/>
      <c r="J109" s="240"/>
      <c r="K109" s="243"/>
      <c r="L109" s="44"/>
      <c r="M109" s="176"/>
      <c r="N109" s="176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</row>
    <row r="110" spans="2:29" ht="13.5" customHeight="1" thickBot="1">
      <c r="B110" s="297"/>
      <c r="C110" s="298"/>
      <c r="D110" s="298"/>
      <c r="E110" s="298"/>
      <c r="F110" s="299"/>
      <c r="G110" s="263"/>
      <c r="H110" s="173"/>
      <c r="I110" s="241"/>
      <c r="J110" s="242"/>
      <c r="K110" s="244"/>
      <c r="L110" s="44"/>
      <c r="M110" s="87"/>
      <c r="N110" s="87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</row>
    <row r="111" spans="2:29" ht="13.5" customHeight="1" thickBot="1">
      <c r="B111" s="11" t="s">
        <v>89</v>
      </c>
      <c r="C111" s="276" t="s">
        <v>90</v>
      </c>
      <c r="D111" s="277"/>
      <c r="E111" s="260" t="s">
        <v>91</v>
      </c>
      <c r="F111" s="261"/>
      <c r="G111" s="260" t="s">
        <v>106</v>
      </c>
      <c r="H111" s="261"/>
      <c r="I111" s="13" t="s">
        <v>96</v>
      </c>
      <c r="J111" s="15"/>
      <c r="K111" s="14"/>
      <c r="L111" s="44"/>
      <c r="M111" s="189" t="s">
        <v>332</v>
      </c>
      <c r="N111" s="189"/>
      <c r="O111" s="189"/>
      <c r="P111" s="189"/>
      <c r="Q111" s="194" t="s">
        <v>328</v>
      </c>
      <c r="R111" s="195"/>
      <c r="S111" s="108" t="s">
        <v>25</v>
      </c>
      <c r="T111" s="196" t="s">
        <v>342</v>
      </c>
      <c r="U111" s="196"/>
      <c r="V111" s="197"/>
      <c r="W111" s="196" t="s">
        <v>349</v>
      </c>
      <c r="X111" s="196"/>
      <c r="Y111" s="197"/>
    </row>
    <row r="112" spans="2:29" ht="13.5" customHeight="1">
      <c r="B112" s="243"/>
      <c r="C112" s="278"/>
      <c r="D112" s="279"/>
      <c r="E112" s="278"/>
      <c r="F112" s="279"/>
      <c r="G112" s="239" t="s">
        <v>250</v>
      </c>
      <c r="H112" s="240"/>
      <c r="I112" s="168"/>
      <c r="J112" s="170" t="s">
        <v>158</v>
      </c>
      <c r="K112" s="172">
        <f>HLOOKUP(G112,Fibonacci89!F$10:H$11,2,FALSE)</f>
        <v>0</v>
      </c>
      <c r="L112" s="44"/>
      <c r="M112" s="189"/>
      <c r="N112" s="189"/>
      <c r="O112" s="189"/>
      <c r="P112" s="189"/>
      <c r="Q112" s="192" t="str">
        <f>VLOOKUP(Fibonacci89!$C$30,Fibonacci89!$B$27:$F$29,3,0)</f>
        <v>×4</v>
      </c>
      <c r="R112" s="190"/>
      <c r="S112" s="190">
        <f>VLOOKUP(Fibonacci89!$C$30,Fibonacci89!$B$27:$F$29,2,0)</f>
        <v>-3</v>
      </c>
      <c r="T112" s="179">
        <f>VLOOKUP(Fibonacci89!$C$30,Fibonacci89!$B$27:$F$29,4,0)</f>
        <v>3</v>
      </c>
      <c r="U112" s="179"/>
      <c r="V112" s="180"/>
      <c r="W112" s="179" t="str">
        <f>VLOOKUP(Fibonacci89!$C$30,Fibonacci89!$B$27:$F$29,5,0)</f>
        <v>Normal</v>
      </c>
      <c r="X112" s="179"/>
      <c r="Y112" s="180"/>
      <c r="AA112" s="455"/>
      <c r="AB112" s="455"/>
      <c r="AC112" s="455"/>
    </row>
    <row r="113" spans="2:29" ht="13.5" customHeight="1" thickBot="1">
      <c r="B113" s="244"/>
      <c r="C113" s="280"/>
      <c r="D113" s="281"/>
      <c r="E113" s="280"/>
      <c r="F113" s="281"/>
      <c r="G113" s="241"/>
      <c r="H113" s="242"/>
      <c r="I113" s="169"/>
      <c r="J113" s="171"/>
      <c r="K113" s="173"/>
      <c r="L113" s="44"/>
      <c r="M113" s="189"/>
      <c r="N113" s="189"/>
      <c r="O113" s="189"/>
      <c r="P113" s="189"/>
      <c r="Q113" s="193"/>
      <c r="R113" s="191"/>
      <c r="S113" s="191"/>
      <c r="T113" s="181"/>
      <c r="U113" s="181"/>
      <c r="V113" s="182"/>
      <c r="W113" s="181"/>
      <c r="X113" s="181"/>
      <c r="Y113" s="182"/>
      <c r="AA113" s="455"/>
      <c r="AB113" s="455"/>
      <c r="AC113" s="455"/>
    </row>
    <row r="114" spans="2:29" ht="13.5" customHeight="1" thickBot="1"/>
    <row r="115" spans="2:29" ht="13.5" customHeight="1" thickBot="1">
      <c r="B115" s="438" t="s">
        <v>238</v>
      </c>
      <c r="C115" s="439"/>
      <c r="D115" s="439"/>
      <c r="E115" s="439"/>
      <c r="F115" s="233" t="s">
        <v>117</v>
      </c>
      <c r="G115" s="233" t="s">
        <v>27</v>
      </c>
      <c r="H115" s="12" t="s">
        <v>237</v>
      </c>
      <c r="I115" s="12" t="s">
        <v>234</v>
      </c>
      <c r="J115" s="12" t="s">
        <v>300</v>
      </c>
      <c r="K115" s="237" t="s">
        <v>236</v>
      </c>
      <c r="M115" s="79"/>
      <c r="N115" s="80"/>
      <c r="O115" s="80"/>
      <c r="P115" s="81"/>
      <c r="R115" s="198" t="s">
        <v>315</v>
      </c>
      <c r="S115" s="199"/>
      <c r="T115" s="199"/>
      <c r="U115" s="199"/>
      <c r="V115" s="199"/>
      <c r="W115" s="199"/>
      <c r="X115" s="199"/>
      <c r="Y115" s="200"/>
    </row>
    <row r="116" spans="2:29" ht="13.5" customHeight="1" thickBot="1">
      <c r="B116" s="440"/>
      <c r="C116" s="441"/>
      <c r="D116" s="441"/>
      <c r="E116" s="441"/>
      <c r="F116" s="235"/>
      <c r="G116" s="235"/>
      <c r="H116" s="12" t="s">
        <v>27</v>
      </c>
      <c r="I116" s="12" t="s">
        <v>235</v>
      </c>
      <c r="J116" s="12" t="s">
        <v>301</v>
      </c>
      <c r="K116" s="238"/>
      <c r="M116" s="222" t="s">
        <v>331</v>
      </c>
      <c r="N116" s="223"/>
      <c r="O116" s="224">
        <f>VLOOKUP(C$11,Fibonacci89!M:S,2,0)*(VLOOKUP(I$5,Fibonacci89!$K$2:$L$10,2,0))</f>
        <v>23</v>
      </c>
      <c r="P116" s="82"/>
      <c r="R116" s="201"/>
      <c r="S116" s="202"/>
      <c r="T116" s="202"/>
      <c r="U116" s="202"/>
      <c r="V116" s="202"/>
      <c r="W116" s="202"/>
      <c r="X116" s="202"/>
      <c r="Y116" s="203"/>
    </row>
    <row r="117" spans="2:29" ht="13.5" customHeight="1">
      <c r="B117" s="464" t="s">
        <v>271</v>
      </c>
      <c r="C117" s="465"/>
      <c r="D117" s="465"/>
      <c r="E117" s="466"/>
      <c r="F117" s="434" t="str">
        <f>VLOOKUP($B117,AC!$A:$I,2,0)</f>
        <v>med.</v>
      </c>
      <c r="G117" s="434">
        <f>VLOOKUP($B117,AC!$A:$I,3,0)</f>
        <v>6</v>
      </c>
      <c r="H117" s="434">
        <f>VLOOKUP($B117,AC!$A:$I,4,0)</f>
        <v>3</v>
      </c>
      <c r="I117" s="434">
        <f>VLOOKUP($B117,AC!$A:$I,5,0)</f>
        <v>-4</v>
      </c>
      <c r="J117" s="436">
        <f>VLOOKUP($B117,AC!$A:$I,6,0)</f>
        <v>0.25</v>
      </c>
      <c r="K117" s="434">
        <f>VLOOKUP($B117,AC!$A:$I,9,0)</f>
        <v>30</v>
      </c>
      <c r="M117" s="222"/>
      <c r="N117" s="223"/>
      <c r="O117" s="225"/>
      <c r="P117" s="82"/>
      <c r="R117" s="210"/>
      <c r="S117" s="211"/>
      <c r="T117" s="214" t="s">
        <v>309</v>
      </c>
      <c r="U117" s="214"/>
      <c r="V117" s="211"/>
      <c r="W117" s="211"/>
      <c r="X117" s="214" t="s">
        <v>311</v>
      </c>
      <c r="Y117" s="216"/>
    </row>
    <row r="118" spans="2:29" ht="13.5" customHeight="1" thickBot="1">
      <c r="B118" s="467"/>
      <c r="C118" s="468"/>
      <c r="D118" s="468"/>
      <c r="E118" s="469"/>
      <c r="F118" s="435"/>
      <c r="G118" s="435"/>
      <c r="H118" s="435"/>
      <c r="I118" s="435"/>
      <c r="J118" s="437"/>
      <c r="K118" s="435"/>
      <c r="M118" s="222" t="s">
        <v>306</v>
      </c>
      <c r="N118" s="223"/>
      <c r="O118" s="226">
        <f>VLOOKUP(C$11,Fibonacci89!M:S,4,0)*(VLOOKUP(I$5,Fibonacci89!$K$2:$L$10,2,0))</f>
        <v>46</v>
      </c>
      <c r="P118" s="82"/>
      <c r="R118" s="212"/>
      <c r="S118" s="213"/>
      <c r="T118" s="215"/>
      <c r="U118" s="215"/>
      <c r="V118" s="213"/>
      <c r="W118" s="213"/>
      <c r="X118" s="215"/>
      <c r="Y118" s="217"/>
    </row>
    <row r="119" spans="2:29" ht="13.5" customHeight="1">
      <c r="B119" s="464" t="s">
        <v>195</v>
      </c>
      <c r="C119" s="465"/>
      <c r="D119" s="465"/>
      <c r="E119" s="466"/>
      <c r="F119" s="434" t="str">
        <f>VLOOKUP($B119,AC!$A:$I,2,0)</f>
        <v>—</v>
      </c>
      <c r="G119" s="434">
        <f>VLOOKUP($B119,AC!$A:$I,3,0)</f>
        <v>0</v>
      </c>
      <c r="H119" s="434">
        <f>VLOOKUP($B119,AC!$A:$I,4,0)</f>
        <v>99</v>
      </c>
      <c r="I119" s="434">
        <f>VLOOKUP($B119,AC!$A:$I,5,0)</f>
        <v>0</v>
      </c>
      <c r="J119" s="436">
        <f>VLOOKUP($B119,AC!$A:$I,6,0)</f>
        <v>0</v>
      </c>
      <c r="K119" s="434">
        <f>VLOOKUP($B119,AC!$A:$I,9,0)</f>
        <v>0</v>
      </c>
      <c r="M119" s="222"/>
      <c r="N119" s="223"/>
      <c r="O119" s="225"/>
      <c r="P119" s="82"/>
      <c r="R119" s="212"/>
      <c r="S119" s="213"/>
      <c r="T119" s="215" t="s">
        <v>310</v>
      </c>
      <c r="U119" s="215"/>
      <c r="V119" s="213"/>
      <c r="W119" s="213"/>
      <c r="X119" s="215" t="s">
        <v>312</v>
      </c>
      <c r="Y119" s="217"/>
    </row>
    <row r="120" spans="2:29" ht="13.5" customHeight="1" thickBot="1">
      <c r="B120" s="467"/>
      <c r="C120" s="468"/>
      <c r="D120" s="468"/>
      <c r="E120" s="469"/>
      <c r="F120" s="435"/>
      <c r="G120" s="435"/>
      <c r="H120" s="435"/>
      <c r="I120" s="435"/>
      <c r="J120" s="437"/>
      <c r="K120" s="435"/>
      <c r="M120" s="222" t="s">
        <v>304</v>
      </c>
      <c r="N120" s="223"/>
      <c r="O120" s="224">
        <f>VLOOKUP(C$11,Fibonacci89!M:S,6,0)*(VLOOKUP(I$5,Fibonacci89!$K$2:$L$10,2,0))</f>
        <v>70</v>
      </c>
      <c r="P120" s="82"/>
      <c r="R120" s="218"/>
      <c r="S120" s="219"/>
      <c r="T120" s="220"/>
      <c r="U120" s="220"/>
      <c r="V120" s="219"/>
      <c r="W120" s="219"/>
      <c r="X120" s="220"/>
      <c r="Y120" s="221"/>
    </row>
    <row r="121" spans="2:29" ht="13.5" customHeight="1">
      <c r="B121" s="464" t="s">
        <v>195</v>
      </c>
      <c r="C121" s="465"/>
      <c r="D121" s="465"/>
      <c r="E121" s="466"/>
      <c r="F121" s="434" t="str">
        <f>VLOOKUP($B121,AC!$A:$I,2,0)</f>
        <v>—</v>
      </c>
      <c r="G121" s="434">
        <f>VLOOKUP($B121,AC!$A:$I,3,0)</f>
        <v>0</v>
      </c>
      <c r="H121" s="434">
        <f>VLOOKUP($B121,AC!$A:$I,4,0)</f>
        <v>99</v>
      </c>
      <c r="I121" s="434">
        <f>VLOOKUP($B121,AC!$A:$I,5,0)</f>
        <v>0</v>
      </c>
      <c r="J121" s="436">
        <f>VLOOKUP($B121,AC!$A:$I,6,0)</f>
        <v>0</v>
      </c>
      <c r="K121" s="434">
        <f>VLOOKUP($B121,AC!$A:$I,9,0)</f>
        <v>0</v>
      </c>
      <c r="M121" s="222"/>
      <c r="N121" s="223"/>
      <c r="O121" s="225"/>
      <c r="P121" s="82"/>
      <c r="R121" s="198" t="s">
        <v>316</v>
      </c>
      <c r="S121" s="199"/>
      <c r="T121" s="199"/>
      <c r="U121" s="199"/>
      <c r="V121" s="199"/>
      <c r="W121" s="199"/>
      <c r="X121" s="199"/>
      <c r="Y121" s="200"/>
    </row>
    <row r="122" spans="2:29" ht="13.5" customHeight="1" thickBot="1">
      <c r="B122" s="467"/>
      <c r="C122" s="468"/>
      <c r="D122" s="468"/>
      <c r="E122" s="469"/>
      <c r="F122" s="435"/>
      <c r="G122" s="435"/>
      <c r="H122" s="435"/>
      <c r="I122" s="435"/>
      <c r="J122" s="437"/>
      <c r="K122" s="435"/>
      <c r="M122" s="222" t="s">
        <v>305</v>
      </c>
      <c r="N122" s="223"/>
      <c r="O122" s="226">
        <f>O120</f>
        <v>70</v>
      </c>
      <c r="P122" s="82"/>
      <c r="R122" s="201"/>
      <c r="S122" s="202"/>
      <c r="T122" s="202"/>
      <c r="U122" s="202"/>
      <c r="V122" s="202"/>
      <c r="W122" s="202"/>
      <c r="X122" s="202"/>
      <c r="Y122" s="203"/>
    </row>
    <row r="123" spans="2:29" ht="13.5" customHeight="1">
      <c r="B123" s="464" t="s">
        <v>195</v>
      </c>
      <c r="C123" s="465"/>
      <c r="D123" s="465"/>
      <c r="E123" s="466"/>
      <c r="F123" s="434" t="str">
        <f>VLOOKUP($B123,AC!$A:$I,2,0)</f>
        <v>—</v>
      </c>
      <c r="G123" s="434">
        <f>VLOOKUP($B123,AC!$A:$I,3,0)</f>
        <v>0</v>
      </c>
      <c r="H123" s="434">
        <f>VLOOKUP($B123,AC!$A:$I,4,0)</f>
        <v>99</v>
      </c>
      <c r="I123" s="434">
        <f>VLOOKUP($B123,AC!$A:$I,5,0)</f>
        <v>0</v>
      </c>
      <c r="J123" s="436">
        <f>VLOOKUP($B123,AC!$A:$I,6,0)</f>
        <v>0</v>
      </c>
      <c r="K123" s="434">
        <f>VLOOKUP($B123,AC!$A:$I,9,0)</f>
        <v>0</v>
      </c>
      <c r="M123" s="222"/>
      <c r="N123" s="223"/>
      <c r="O123" s="225"/>
      <c r="P123" s="82"/>
      <c r="R123" s="204">
        <v>0</v>
      </c>
      <c r="S123" s="205"/>
      <c r="T123" s="205"/>
      <c r="U123" s="205"/>
      <c r="V123" s="205"/>
      <c r="W123" s="205"/>
      <c r="X123" s="205"/>
      <c r="Y123" s="206"/>
    </row>
    <row r="124" spans="2:29" ht="13.5" customHeight="1" thickBot="1">
      <c r="B124" s="467"/>
      <c r="C124" s="468"/>
      <c r="D124" s="468"/>
      <c r="E124" s="469"/>
      <c r="F124" s="435"/>
      <c r="G124" s="435"/>
      <c r="H124" s="435"/>
      <c r="I124" s="435"/>
      <c r="J124" s="437"/>
      <c r="K124" s="435"/>
      <c r="M124" s="222" t="s">
        <v>307</v>
      </c>
      <c r="N124" s="223"/>
      <c r="O124" s="226">
        <f>O122*2</f>
        <v>140</v>
      </c>
      <c r="P124" s="82"/>
      <c r="R124" s="207"/>
      <c r="S124" s="208"/>
      <c r="T124" s="208"/>
      <c r="U124" s="208"/>
      <c r="V124" s="208"/>
      <c r="W124" s="208"/>
      <c r="X124" s="208"/>
      <c r="Y124" s="209"/>
    </row>
    <row r="125" spans="2:29" ht="13.5" customHeight="1">
      <c r="B125" s="464" t="s">
        <v>195</v>
      </c>
      <c r="C125" s="465"/>
      <c r="D125" s="465"/>
      <c r="E125" s="466"/>
      <c r="F125" s="434" t="str">
        <f>VLOOKUP($B125,AC!$A:$I,2,0)</f>
        <v>—</v>
      </c>
      <c r="G125" s="434">
        <f>VLOOKUP($B125,AC!$A:$I,3,0)</f>
        <v>0</v>
      </c>
      <c r="H125" s="434">
        <f>VLOOKUP($B125,AC!$A:$I,4,0)</f>
        <v>99</v>
      </c>
      <c r="I125" s="434">
        <f>VLOOKUP($B125,AC!$A:$I,5,0)</f>
        <v>0</v>
      </c>
      <c r="J125" s="436">
        <f>VLOOKUP($B125,AC!$A:$I,6,0)</f>
        <v>0</v>
      </c>
      <c r="K125" s="434">
        <f>VLOOKUP($B125,AC!$A:$I,9,0)</f>
        <v>0</v>
      </c>
      <c r="M125" s="222"/>
      <c r="N125" s="223"/>
      <c r="O125" s="225"/>
      <c r="P125" s="82"/>
      <c r="R125" s="198" t="s">
        <v>313</v>
      </c>
      <c r="S125" s="199"/>
      <c r="T125" s="199"/>
      <c r="U125" s="199"/>
      <c r="V125" s="199"/>
      <c r="W125" s="199"/>
      <c r="X125" s="199"/>
      <c r="Y125" s="200"/>
    </row>
    <row r="126" spans="2:29" ht="13.5" customHeight="1" thickBot="1">
      <c r="B126" s="467"/>
      <c r="C126" s="468"/>
      <c r="D126" s="468"/>
      <c r="E126" s="469"/>
      <c r="F126" s="435"/>
      <c r="G126" s="435"/>
      <c r="H126" s="435"/>
      <c r="I126" s="435"/>
      <c r="J126" s="437"/>
      <c r="K126" s="435"/>
      <c r="M126" s="222" t="s">
        <v>308</v>
      </c>
      <c r="N126" s="223"/>
      <c r="O126" s="226">
        <f>5*O120</f>
        <v>350</v>
      </c>
      <c r="P126" s="82"/>
      <c r="R126" s="201"/>
      <c r="S126" s="202"/>
      <c r="T126" s="202"/>
      <c r="U126" s="202"/>
      <c r="V126" s="202"/>
      <c r="W126" s="202"/>
      <c r="X126" s="202"/>
      <c r="Y126" s="203"/>
    </row>
    <row r="127" spans="2:29" ht="13.5" customHeight="1">
      <c r="B127" s="460" t="s">
        <v>233</v>
      </c>
      <c r="C127" s="461"/>
      <c r="D127" s="461"/>
      <c r="E127" s="461"/>
      <c r="F127" s="461"/>
      <c r="G127" s="461"/>
      <c r="H127" s="456">
        <f>SMALL(H117:H126,1)</f>
        <v>3</v>
      </c>
      <c r="I127" s="458">
        <f t="shared" ref="I127:K127" si="25">SUM(I117:I126)</f>
        <v>-4</v>
      </c>
      <c r="J127" s="436">
        <f>SUM(J117:J126)</f>
        <v>0.25</v>
      </c>
      <c r="K127" s="458">
        <f t="shared" si="25"/>
        <v>30</v>
      </c>
      <c r="M127" s="222"/>
      <c r="N127" s="223"/>
      <c r="O127" s="225"/>
      <c r="P127" s="82"/>
      <c r="R127" s="183">
        <f>VLOOKUP(D5,Growth!H3:I22,2,0)</f>
        <v>1300</v>
      </c>
      <c r="S127" s="184"/>
      <c r="T127" s="184"/>
      <c r="U127" s="184"/>
      <c r="V127" s="184"/>
      <c r="W127" s="184"/>
      <c r="X127" s="184"/>
      <c r="Y127" s="185"/>
    </row>
    <row r="128" spans="2:29" ht="13.5" customHeight="1" thickBot="1">
      <c r="B128" s="462"/>
      <c r="C128" s="463"/>
      <c r="D128" s="463"/>
      <c r="E128" s="463"/>
      <c r="F128" s="463"/>
      <c r="G128" s="463"/>
      <c r="H128" s="457"/>
      <c r="I128" s="459"/>
      <c r="J128" s="437"/>
      <c r="K128" s="459"/>
      <c r="M128" s="174"/>
      <c r="N128" s="175"/>
      <c r="O128" s="83"/>
      <c r="P128" s="84"/>
      <c r="R128" s="186"/>
      <c r="S128" s="187"/>
      <c r="T128" s="187"/>
      <c r="U128" s="187"/>
      <c r="V128" s="187"/>
      <c r="W128" s="187"/>
      <c r="X128" s="187"/>
      <c r="Y128" s="188"/>
    </row>
  </sheetData>
  <mergeCells count="809">
    <mergeCell ref="AA112:AC113"/>
    <mergeCell ref="I125:I126"/>
    <mergeCell ref="J125:J126"/>
    <mergeCell ref="H127:H128"/>
    <mergeCell ref="I127:I128"/>
    <mergeCell ref="J127:J128"/>
    <mergeCell ref="B127:G128"/>
    <mergeCell ref="K117:K118"/>
    <mergeCell ref="K119:K120"/>
    <mergeCell ref="K121:K122"/>
    <mergeCell ref="K123:K124"/>
    <mergeCell ref="K125:K126"/>
    <mergeCell ref="K127:K128"/>
    <mergeCell ref="B117:E118"/>
    <mergeCell ref="B119:E120"/>
    <mergeCell ref="B121:E122"/>
    <mergeCell ref="B123:E124"/>
    <mergeCell ref="B125:E126"/>
    <mergeCell ref="F117:F118"/>
    <mergeCell ref="F119:F120"/>
    <mergeCell ref="F121:F122"/>
    <mergeCell ref="F123:F124"/>
    <mergeCell ref="I119:I120"/>
    <mergeCell ref="J119:J120"/>
    <mergeCell ref="G121:G122"/>
    <mergeCell ref="H121:H122"/>
    <mergeCell ref="I121:I122"/>
    <mergeCell ref="J121:J122"/>
    <mergeCell ref="G123:G124"/>
    <mergeCell ref="H123:H124"/>
    <mergeCell ref="I123:I124"/>
    <mergeCell ref="J123:J124"/>
    <mergeCell ref="G115:G116"/>
    <mergeCell ref="G117:G118"/>
    <mergeCell ref="H117:H118"/>
    <mergeCell ref="G119:G120"/>
    <mergeCell ref="H119:H120"/>
    <mergeCell ref="G125:G126"/>
    <mergeCell ref="H125:H126"/>
    <mergeCell ref="B115:E116"/>
    <mergeCell ref="F115:F116"/>
    <mergeCell ref="F125:F126"/>
    <mergeCell ref="F58:G60"/>
    <mergeCell ref="G22:K22"/>
    <mergeCell ref="G23:K23"/>
    <mergeCell ref="G24:K24"/>
    <mergeCell ref="G25:K25"/>
    <mergeCell ref="G26:K26"/>
    <mergeCell ref="E31:E34"/>
    <mergeCell ref="F31:F34"/>
    <mergeCell ref="E23:E26"/>
    <mergeCell ref="E45:E48"/>
    <mergeCell ref="E49:E52"/>
    <mergeCell ref="E53:E56"/>
    <mergeCell ref="G45:G48"/>
    <mergeCell ref="G49:G52"/>
    <mergeCell ref="G53:G56"/>
    <mergeCell ref="B53:D55"/>
    <mergeCell ref="B56:D56"/>
    <mergeCell ref="B43:D44"/>
    <mergeCell ref="B45:D47"/>
    <mergeCell ref="J21:K21"/>
    <mergeCell ref="I117:I118"/>
    <mergeCell ref="J117:J118"/>
    <mergeCell ref="K115:K116"/>
    <mergeCell ref="M106:Y107"/>
    <mergeCell ref="X91:X92"/>
    <mergeCell ref="Y91:Y92"/>
    <mergeCell ref="V77:V78"/>
    <mergeCell ref="W77:W78"/>
    <mergeCell ref="X77:X78"/>
    <mergeCell ref="S87:S88"/>
    <mergeCell ref="T87:T88"/>
    <mergeCell ref="U87:U88"/>
    <mergeCell ref="V87:V88"/>
    <mergeCell ref="W87:W88"/>
    <mergeCell ref="X87:X88"/>
    <mergeCell ref="Y87:Y88"/>
    <mergeCell ref="S89:S90"/>
    <mergeCell ref="T89:T90"/>
    <mergeCell ref="P69:P70"/>
    <mergeCell ref="U89:U90"/>
    <mergeCell ref="V89:V90"/>
    <mergeCell ref="W89:W90"/>
    <mergeCell ref="M5:N6"/>
    <mergeCell ref="M7:N7"/>
    <mergeCell ref="J4:K4"/>
    <mergeCell ref="O5:O6"/>
    <mergeCell ref="P5:R6"/>
    <mergeCell ref="O8:O9"/>
    <mergeCell ref="P8:R9"/>
    <mergeCell ref="M10:N10"/>
    <mergeCell ref="M8:N9"/>
    <mergeCell ref="J5:J6"/>
    <mergeCell ref="K5:K6"/>
    <mergeCell ref="M2:R3"/>
    <mergeCell ref="M11:Y13"/>
    <mergeCell ref="M96:Y97"/>
    <mergeCell ref="M98:Y99"/>
    <mergeCell ref="M100:Y101"/>
    <mergeCell ref="M102:Y103"/>
    <mergeCell ref="M104:Y105"/>
    <mergeCell ref="P7:R7"/>
    <mergeCell ref="P10:R10"/>
    <mergeCell ref="S5:T6"/>
    <mergeCell ref="U5:W6"/>
    <mergeCell ref="S7:T7"/>
    <mergeCell ref="U7:W7"/>
    <mergeCell ref="X7:Y7"/>
    <mergeCell ref="X5:Y6"/>
    <mergeCell ref="S8:U9"/>
    <mergeCell ref="S10:U10"/>
    <mergeCell ref="V8:Y8"/>
    <mergeCell ref="V9:Y9"/>
    <mergeCell ref="S91:S92"/>
    <mergeCell ref="T91:T92"/>
    <mergeCell ref="U91:U92"/>
    <mergeCell ref="V91:V92"/>
    <mergeCell ref="W91:W92"/>
    <mergeCell ref="S75:S76"/>
    <mergeCell ref="T75:T76"/>
    <mergeCell ref="U75:U76"/>
    <mergeCell ref="V75:V76"/>
    <mergeCell ref="W75:W76"/>
    <mergeCell ref="X75:X76"/>
    <mergeCell ref="Y75:Y76"/>
    <mergeCell ref="S77:S78"/>
    <mergeCell ref="T77:T78"/>
    <mergeCell ref="U77:U78"/>
    <mergeCell ref="Y57:Y58"/>
    <mergeCell ref="Y51:Y52"/>
    <mergeCell ref="Y45:Y46"/>
    <mergeCell ref="W2:Y3"/>
    <mergeCell ref="S2:V3"/>
    <mergeCell ref="V10:Y10"/>
    <mergeCell ref="S43:S44"/>
    <mergeCell ref="T43:T44"/>
    <mergeCell ref="U43:U44"/>
    <mergeCell ref="V43:V44"/>
    <mergeCell ref="W43:W44"/>
    <mergeCell ref="X43:X44"/>
    <mergeCell ref="Y43:Y44"/>
    <mergeCell ref="S53:S54"/>
    <mergeCell ref="T53:T54"/>
    <mergeCell ref="U53:U54"/>
    <mergeCell ref="V53:V54"/>
    <mergeCell ref="W53:W54"/>
    <mergeCell ref="X53:X54"/>
    <mergeCell ref="Y53:Y54"/>
    <mergeCell ref="S79:S80"/>
    <mergeCell ref="T79:T80"/>
    <mergeCell ref="U79:U80"/>
    <mergeCell ref="V79:V80"/>
    <mergeCell ref="W79:W80"/>
    <mergeCell ref="X79:X80"/>
    <mergeCell ref="Y79:Y80"/>
    <mergeCell ref="Y77:Y78"/>
    <mergeCell ref="X89:X90"/>
    <mergeCell ref="Y89:Y90"/>
    <mergeCell ref="V81:V82"/>
    <mergeCell ref="W81:W82"/>
    <mergeCell ref="X81:X82"/>
    <mergeCell ref="Y81:Y82"/>
    <mergeCell ref="S85:S86"/>
    <mergeCell ref="T85:T86"/>
    <mergeCell ref="U85:U86"/>
    <mergeCell ref="V85:V86"/>
    <mergeCell ref="W85:W86"/>
    <mergeCell ref="X85:X86"/>
    <mergeCell ref="Y85:Y86"/>
    <mergeCell ref="S83:S84"/>
    <mergeCell ref="T83:T84"/>
    <mergeCell ref="U83:U84"/>
    <mergeCell ref="S67:S68"/>
    <mergeCell ref="T67:T68"/>
    <mergeCell ref="U67:U68"/>
    <mergeCell ref="V67:V68"/>
    <mergeCell ref="W67:W68"/>
    <mergeCell ref="X67:X68"/>
    <mergeCell ref="Y67:Y68"/>
    <mergeCell ref="V73:V74"/>
    <mergeCell ref="W73:W74"/>
    <mergeCell ref="X73:X74"/>
    <mergeCell ref="Y73:Y74"/>
    <mergeCell ref="S69:S70"/>
    <mergeCell ref="T69:T70"/>
    <mergeCell ref="U69:U70"/>
    <mergeCell ref="V69:V70"/>
    <mergeCell ref="W69:W70"/>
    <mergeCell ref="X69:X70"/>
    <mergeCell ref="Y69:Y70"/>
    <mergeCell ref="Y71:Y72"/>
    <mergeCell ref="S73:S74"/>
    <mergeCell ref="T73:T74"/>
    <mergeCell ref="U73:U74"/>
    <mergeCell ref="V83:V84"/>
    <mergeCell ref="W83:W84"/>
    <mergeCell ref="X83:X84"/>
    <mergeCell ref="Y83:Y84"/>
    <mergeCell ref="S81:S82"/>
    <mergeCell ref="T81:T82"/>
    <mergeCell ref="U81:U82"/>
    <mergeCell ref="V63:V64"/>
    <mergeCell ref="W63:W64"/>
    <mergeCell ref="X63:X64"/>
    <mergeCell ref="Y63:Y64"/>
    <mergeCell ref="S65:S66"/>
    <mergeCell ref="T65:T66"/>
    <mergeCell ref="U65:U66"/>
    <mergeCell ref="V65:V66"/>
    <mergeCell ref="W65:W66"/>
    <mergeCell ref="X65:X66"/>
    <mergeCell ref="Y65:Y66"/>
    <mergeCell ref="S71:S72"/>
    <mergeCell ref="T71:T72"/>
    <mergeCell ref="U71:U72"/>
    <mergeCell ref="V71:V72"/>
    <mergeCell ref="W71:W72"/>
    <mergeCell ref="X71:X72"/>
    <mergeCell ref="S59:S60"/>
    <mergeCell ref="T59:T60"/>
    <mergeCell ref="U59:U60"/>
    <mergeCell ref="V59:V60"/>
    <mergeCell ref="W59:W60"/>
    <mergeCell ref="X59:X60"/>
    <mergeCell ref="Y59:Y60"/>
    <mergeCell ref="S61:S62"/>
    <mergeCell ref="T61:T62"/>
    <mergeCell ref="U61:U62"/>
    <mergeCell ref="V61:V62"/>
    <mergeCell ref="W61:W62"/>
    <mergeCell ref="X61:X62"/>
    <mergeCell ref="Y61:Y62"/>
    <mergeCell ref="U55:U56"/>
    <mergeCell ref="V55:V56"/>
    <mergeCell ref="W55:W56"/>
    <mergeCell ref="X55:X56"/>
    <mergeCell ref="Y55:Y56"/>
    <mergeCell ref="S47:S48"/>
    <mergeCell ref="T47:T48"/>
    <mergeCell ref="U47:U48"/>
    <mergeCell ref="V47:V48"/>
    <mergeCell ref="W47:W48"/>
    <mergeCell ref="X47:X48"/>
    <mergeCell ref="Y47:Y48"/>
    <mergeCell ref="S49:S50"/>
    <mergeCell ref="T49:T50"/>
    <mergeCell ref="U49:U50"/>
    <mergeCell ref="V49:V50"/>
    <mergeCell ref="W49:W50"/>
    <mergeCell ref="X49:X50"/>
    <mergeCell ref="Y49:Y50"/>
    <mergeCell ref="P93:P94"/>
    <mergeCell ref="S45:S46"/>
    <mergeCell ref="T45:T46"/>
    <mergeCell ref="U45:U46"/>
    <mergeCell ref="V45:V46"/>
    <mergeCell ref="W45:W46"/>
    <mergeCell ref="X45:X46"/>
    <mergeCell ref="S51:S52"/>
    <mergeCell ref="T51:T52"/>
    <mergeCell ref="U51:U52"/>
    <mergeCell ref="V51:V52"/>
    <mergeCell ref="W51:W52"/>
    <mergeCell ref="X51:X52"/>
    <mergeCell ref="S57:S58"/>
    <mergeCell ref="T57:T58"/>
    <mergeCell ref="U57:U58"/>
    <mergeCell ref="V57:V58"/>
    <mergeCell ref="W57:W58"/>
    <mergeCell ref="X57:X58"/>
    <mergeCell ref="S63:S64"/>
    <mergeCell ref="T63:T64"/>
    <mergeCell ref="U63:U64"/>
    <mergeCell ref="S55:S56"/>
    <mergeCell ref="T55:T56"/>
    <mergeCell ref="Q93:Q94"/>
    <mergeCell ref="R93:R94"/>
    <mergeCell ref="S93:S94"/>
    <mergeCell ref="T93:T94"/>
    <mergeCell ref="U93:U94"/>
    <mergeCell ref="V93:V94"/>
    <mergeCell ref="W93:W94"/>
    <mergeCell ref="X93:X94"/>
    <mergeCell ref="Y93:Y94"/>
    <mergeCell ref="S41:S42"/>
    <mergeCell ref="T41:T42"/>
    <mergeCell ref="U41:U42"/>
    <mergeCell ref="V41:V42"/>
    <mergeCell ref="W41:W42"/>
    <mergeCell ref="X41:X42"/>
    <mergeCell ref="Y41:Y42"/>
    <mergeCell ref="S37:S38"/>
    <mergeCell ref="T37:T38"/>
    <mergeCell ref="U37:U38"/>
    <mergeCell ref="V37:V38"/>
    <mergeCell ref="W37:W38"/>
    <mergeCell ref="X37:X38"/>
    <mergeCell ref="Y37:Y38"/>
    <mergeCell ref="S39:S40"/>
    <mergeCell ref="T39:T40"/>
    <mergeCell ref="U39:U40"/>
    <mergeCell ref="V39:V40"/>
    <mergeCell ref="W39:W40"/>
    <mergeCell ref="X39:X40"/>
    <mergeCell ref="Y39:Y40"/>
    <mergeCell ref="S33:S34"/>
    <mergeCell ref="T33:T34"/>
    <mergeCell ref="U33:U34"/>
    <mergeCell ref="V33:V34"/>
    <mergeCell ref="W33:W34"/>
    <mergeCell ref="X33:X34"/>
    <mergeCell ref="Y33:Y34"/>
    <mergeCell ref="S35:S36"/>
    <mergeCell ref="T35:T36"/>
    <mergeCell ref="U35:U36"/>
    <mergeCell ref="V35:V36"/>
    <mergeCell ref="W35:W36"/>
    <mergeCell ref="X35:X36"/>
    <mergeCell ref="Y35:Y36"/>
    <mergeCell ref="X29:X30"/>
    <mergeCell ref="Y29:Y30"/>
    <mergeCell ref="S31:S32"/>
    <mergeCell ref="T31:T32"/>
    <mergeCell ref="U31:U32"/>
    <mergeCell ref="V31:V32"/>
    <mergeCell ref="W31:W32"/>
    <mergeCell ref="X31:X32"/>
    <mergeCell ref="Y31:Y32"/>
    <mergeCell ref="X25:X26"/>
    <mergeCell ref="Y25:Y26"/>
    <mergeCell ref="S27:S28"/>
    <mergeCell ref="T27:T28"/>
    <mergeCell ref="U27:U28"/>
    <mergeCell ref="V27:V28"/>
    <mergeCell ref="W27:W28"/>
    <mergeCell ref="X27:X28"/>
    <mergeCell ref="Y27:Y28"/>
    <mergeCell ref="X21:X22"/>
    <mergeCell ref="Y21:Y22"/>
    <mergeCell ref="S23:S24"/>
    <mergeCell ref="T23:T24"/>
    <mergeCell ref="U23:U24"/>
    <mergeCell ref="V23:V24"/>
    <mergeCell ref="W23:W24"/>
    <mergeCell ref="X23:X24"/>
    <mergeCell ref="Y23:Y24"/>
    <mergeCell ref="X17:X18"/>
    <mergeCell ref="Y17:Y18"/>
    <mergeCell ref="S19:S20"/>
    <mergeCell ref="U19:U20"/>
    <mergeCell ref="V19:V20"/>
    <mergeCell ref="W19:W20"/>
    <mergeCell ref="X19:X20"/>
    <mergeCell ref="Y19:Y20"/>
    <mergeCell ref="T19:T20"/>
    <mergeCell ref="P89:P90"/>
    <mergeCell ref="Q89:Q90"/>
    <mergeCell ref="R89:R90"/>
    <mergeCell ref="P91:P92"/>
    <mergeCell ref="Q91:Q92"/>
    <mergeCell ref="R91:R92"/>
    <mergeCell ref="U17:U18"/>
    <mergeCell ref="W17:W18"/>
    <mergeCell ref="V17:V18"/>
    <mergeCell ref="S21:S22"/>
    <mergeCell ref="T21:T22"/>
    <mergeCell ref="U21:U22"/>
    <mergeCell ref="V21:V22"/>
    <mergeCell ref="W21:W22"/>
    <mergeCell ref="S25:S26"/>
    <mergeCell ref="T25:T26"/>
    <mergeCell ref="U25:U26"/>
    <mergeCell ref="V25:V26"/>
    <mergeCell ref="W25:W26"/>
    <mergeCell ref="S29:S30"/>
    <mergeCell ref="T29:T30"/>
    <mergeCell ref="U29:U30"/>
    <mergeCell ref="V29:V30"/>
    <mergeCell ref="W29:W30"/>
    <mergeCell ref="P83:P84"/>
    <mergeCell ref="Q83:Q84"/>
    <mergeCell ref="R83:R84"/>
    <mergeCell ref="P85:P86"/>
    <mergeCell ref="Q85:Q86"/>
    <mergeCell ref="R85:R86"/>
    <mergeCell ref="P87:P88"/>
    <mergeCell ref="Q87:Q88"/>
    <mergeCell ref="R87:R88"/>
    <mergeCell ref="P77:P78"/>
    <mergeCell ref="Q77:Q78"/>
    <mergeCell ref="R77:R78"/>
    <mergeCell ref="P79:P80"/>
    <mergeCell ref="Q79:Q80"/>
    <mergeCell ref="R79:R80"/>
    <mergeCell ref="P81:P82"/>
    <mergeCell ref="Q81:Q82"/>
    <mergeCell ref="R81:R82"/>
    <mergeCell ref="P71:P72"/>
    <mergeCell ref="Q71:Q72"/>
    <mergeCell ref="R71:R72"/>
    <mergeCell ref="Q69:Q70"/>
    <mergeCell ref="R69:R70"/>
    <mergeCell ref="P73:P74"/>
    <mergeCell ref="Q73:Q74"/>
    <mergeCell ref="R73:R74"/>
    <mergeCell ref="P75:P76"/>
    <mergeCell ref="Q75:Q76"/>
    <mergeCell ref="R75:R76"/>
    <mergeCell ref="P63:P64"/>
    <mergeCell ref="Q63:Q64"/>
    <mergeCell ref="R63:R64"/>
    <mergeCell ref="P65:P66"/>
    <mergeCell ref="Q65:Q66"/>
    <mergeCell ref="R65:R66"/>
    <mergeCell ref="P67:P68"/>
    <mergeCell ref="Q67:Q68"/>
    <mergeCell ref="R67:R68"/>
    <mergeCell ref="P57:P58"/>
    <mergeCell ref="Q57:Q58"/>
    <mergeCell ref="R57:R58"/>
    <mergeCell ref="P59:P60"/>
    <mergeCell ref="Q59:Q60"/>
    <mergeCell ref="R59:R60"/>
    <mergeCell ref="P61:P62"/>
    <mergeCell ref="Q61:Q62"/>
    <mergeCell ref="R61:R62"/>
    <mergeCell ref="P51:P52"/>
    <mergeCell ref="Q51:Q52"/>
    <mergeCell ref="R51:R52"/>
    <mergeCell ref="P53:P54"/>
    <mergeCell ref="Q53:Q54"/>
    <mergeCell ref="R53:R54"/>
    <mergeCell ref="P55:P56"/>
    <mergeCell ref="Q55:Q56"/>
    <mergeCell ref="R55:R56"/>
    <mergeCell ref="P45:P46"/>
    <mergeCell ref="Q45:Q46"/>
    <mergeCell ref="R45:R46"/>
    <mergeCell ref="P47:P48"/>
    <mergeCell ref="Q47:Q48"/>
    <mergeCell ref="R47:R48"/>
    <mergeCell ref="P49:P50"/>
    <mergeCell ref="Q49:Q50"/>
    <mergeCell ref="R49:R50"/>
    <mergeCell ref="P39:P40"/>
    <mergeCell ref="Q39:Q40"/>
    <mergeCell ref="R39:R40"/>
    <mergeCell ref="P41:P42"/>
    <mergeCell ref="Q41:Q42"/>
    <mergeCell ref="R41:R42"/>
    <mergeCell ref="P43:P44"/>
    <mergeCell ref="Q43:Q44"/>
    <mergeCell ref="R43:R44"/>
    <mergeCell ref="P33:P34"/>
    <mergeCell ref="Q33:Q34"/>
    <mergeCell ref="R33:R34"/>
    <mergeCell ref="P35:P36"/>
    <mergeCell ref="Q35:Q36"/>
    <mergeCell ref="R35:R36"/>
    <mergeCell ref="P37:P38"/>
    <mergeCell ref="Q37:Q38"/>
    <mergeCell ref="R37:R38"/>
    <mergeCell ref="O77:O78"/>
    <mergeCell ref="N79:O80"/>
    <mergeCell ref="N81:O82"/>
    <mergeCell ref="N83:O84"/>
    <mergeCell ref="N85:O86"/>
    <mergeCell ref="N87:O88"/>
    <mergeCell ref="P19:P20"/>
    <mergeCell ref="Q19:Q20"/>
    <mergeCell ref="R19:R20"/>
    <mergeCell ref="P21:P22"/>
    <mergeCell ref="Q21:Q22"/>
    <mergeCell ref="R21:R22"/>
    <mergeCell ref="P23:P24"/>
    <mergeCell ref="Q23:Q24"/>
    <mergeCell ref="R23:R24"/>
    <mergeCell ref="P25:P26"/>
    <mergeCell ref="Q25:Q26"/>
    <mergeCell ref="R25:R26"/>
    <mergeCell ref="P27:P28"/>
    <mergeCell ref="Q27:Q28"/>
    <mergeCell ref="R27:R28"/>
    <mergeCell ref="P29:P30"/>
    <mergeCell ref="Q29:Q30"/>
    <mergeCell ref="R29:R30"/>
    <mergeCell ref="M15:M16"/>
    <mergeCell ref="N15:O16"/>
    <mergeCell ref="Q17:Q18"/>
    <mergeCell ref="R17:R18"/>
    <mergeCell ref="N17:O18"/>
    <mergeCell ref="N19:O20"/>
    <mergeCell ref="N21:O22"/>
    <mergeCell ref="N23:O24"/>
    <mergeCell ref="M53:M54"/>
    <mergeCell ref="N31:O32"/>
    <mergeCell ref="N33:O34"/>
    <mergeCell ref="N35:O36"/>
    <mergeCell ref="N37:O38"/>
    <mergeCell ref="N39:O40"/>
    <mergeCell ref="N41:O42"/>
    <mergeCell ref="N43:O44"/>
    <mergeCell ref="N45:O46"/>
    <mergeCell ref="N47:O48"/>
    <mergeCell ref="N49:O50"/>
    <mergeCell ref="N51:O52"/>
    <mergeCell ref="N53:O54"/>
    <mergeCell ref="P31:P32"/>
    <mergeCell ref="Q31:Q32"/>
    <mergeCell ref="R31:R32"/>
    <mergeCell ref="S17:S18"/>
    <mergeCell ref="T17:T18"/>
    <mergeCell ref="B2:C3"/>
    <mergeCell ref="C11:C14"/>
    <mergeCell ref="C15:C18"/>
    <mergeCell ref="C19:C22"/>
    <mergeCell ref="C23:C26"/>
    <mergeCell ref="C27:C30"/>
    <mergeCell ref="B11:B13"/>
    <mergeCell ref="B15:B17"/>
    <mergeCell ref="B19:B21"/>
    <mergeCell ref="B23:B25"/>
    <mergeCell ref="D2:E3"/>
    <mergeCell ref="F2:H3"/>
    <mergeCell ref="F5:H6"/>
    <mergeCell ref="E27:E30"/>
    <mergeCell ref="F11:F14"/>
    <mergeCell ref="F15:F18"/>
    <mergeCell ref="F19:F22"/>
    <mergeCell ref="F23:F26"/>
    <mergeCell ref="F27:F30"/>
    <mergeCell ref="E11:E14"/>
    <mergeCell ref="E15:E18"/>
    <mergeCell ref="E19:E22"/>
    <mergeCell ref="I11:I14"/>
    <mergeCell ref="D11:D14"/>
    <mergeCell ref="D15:D18"/>
    <mergeCell ref="D19:D22"/>
    <mergeCell ref="D23:D26"/>
    <mergeCell ref="D27:D30"/>
    <mergeCell ref="D31:D34"/>
    <mergeCell ref="B36:B38"/>
    <mergeCell ref="C36:C39"/>
    <mergeCell ref="E36:E39"/>
    <mergeCell ref="G21:I21"/>
    <mergeCell ref="B5:C6"/>
    <mergeCell ref="C31:C34"/>
    <mergeCell ref="B27:B29"/>
    <mergeCell ref="B31:B33"/>
    <mergeCell ref="J15:J18"/>
    <mergeCell ref="D36:D39"/>
    <mergeCell ref="J36:J39"/>
    <mergeCell ref="K36:K39"/>
    <mergeCell ref="K27:K30"/>
    <mergeCell ref="G31:J33"/>
    <mergeCell ref="K15:K18"/>
    <mergeCell ref="G36:G39"/>
    <mergeCell ref="F36:F39"/>
    <mergeCell ref="H36:H39"/>
    <mergeCell ref="I36:I39"/>
    <mergeCell ref="J11:J14"/>
    <mergeCell ref="K11:K14"/>
    <mergeCell ref="G15:H17"/>
    <mergeCell ref="G18:H18"/>
    <mergeCell ref="I15:I18"/>
    <mergeCell ref="D5:D6"/>
    <mergeCell ref="E5:E6"/>
    <mergeCell ref="G11:G13"/>
    <mergeCell ref="H11:H14"/>
    <mergeCell ref="I70:K70"/>
    <mergeCell ref="I71:K71"/>
    <mergeCell ref="I62:J62"/>
    <mergeCell ref="B58:E60"/>
    <mergeCell ref="B48:D48"/>
    <mergeCell ref="B49:D51"/>
    <mergeCell ref="B52:D52"/>
    <mergeCell ref="F45:F48"/>
    <mergeCell ref="F49:F52"/>
    <mergeCell ref="H49:H52"/>
    <mergeCell ref="H53:H56"/>
    <mergeCell ref="I45:I48"/>
    <mergeCell ref="I49:I52"/>
    <mergeCell ref="I53:I56"/>
    <mergeCell ref="F53:F56"/>
    <mergeCell ref="H45:H48"/>
    <mergeCell ref="B75:F76"/>
    <mergeCell ref="G75:H76"/>
    <mergeCell ref="B77:F78"/>
    <mergeCell ref="I77:J78"/>
    <mergeCell ref="E68:E71"/>
    <mergeCell ref="F68:F71"/>
    <mergeCell ref="G68:G71"/>
    <mergeCell ref="H68:H71"/>
    <mergeCell ref="D62:D65"/>
    <mergeCell ref="B68:B71"/>
    <mergeCell ref="C62:C65"/>
    <mergeCell ref="C68:C71"/>
    <mergeCell ref="E62:E65"/>
    <mergeCell ref="D68:D71"/>
    <mergeCell ref="B62:B65"/>
    <mergeCell ref="G62:G65"/>
    <mergeCell ref="F62:F65"/>
    <mergeCell ref="I63:K63"/>
    <mergeCell ref="I64:K64"/>
    <mergeCell ref="I65:K65"/>
    <mergeCell ref="I66:K66"/>
    <mergeCell ref="I67:K67"/>
    <mergeCell ref="I68:K68"/>
    <mergeCell ref="I69:K69"/>
    <mergeCell ref="B83:F84"/>
    <mergeCell ref="G83:H84"/>
    <mergeCell ref="B85:F86"/>
    <mergeCell ref="G85:G86"/>
    <mergeCell ref="H85:H86"/>
    <mergeCell ref="E79:F79"/>
    <mergeCell ref="C79:D79"/>
    <mergeCell ref="B80:B81"/>
    <mergeCell ref="C80:D81"/>
    <mergeCell ref="E80:F81"/>
    <mergeCell ref="B96:B97"/>
    <mergeCell ref="C96:D97"/>
    <mergeCell ref="E96:F97"/>
    <mergeCell ref="G96:H97"/>
    <mergeCell ref="B91:F92"/>
    <mergeCell ref="G91:H92"/>
    <mergeCell ref="C87:D87"/>
    <mergeCell ref="E87:F87"/>
    <mergeCell ref="G87:H87"/>
    <mergeCell ref="B88:B89"/>
    <mergeCell ref="C88:D89"/>
    <mergeCell ref="E88:F89"/>
    <mergeCell ref="G88:H89"/>
    <mergeCell ref="B93:F94"/>
    <mergeCell ref="G93:G94"/>
    <mergeCell ref="H93:H94"/>
    <mergeCell ref="I93:J94"/>
    <mergeCell ref="K93:K94"/>
    <mergeCell ref="I88:I89"/>
    <mergeCell ref="J88:J89"/>
    <mergeCell ref="K88:K89"/>
    <mergeCell ref="C95:D95"/>
    <mergeCell ref="E95:F95"/>
    <mergeCell ref="G95:H95"/>
    <mergeCell ref="G101:G102"/>
    <mergeCell ref="H101:H102"/>
    <mergeCell ref="I101:J102"/>
    <mergeCell ref="K101:K102"/>
    <mergeCell ref="I99:J100"/>
    <mergeCell ref="K99:K100"/>
    <mergeCell ref="I104:I105"/>
    <mergeCell ref="J104:J105"/>
    <mergeCell ref="K104:K105"/>
    <mergeCell ref="I91:J92"/>
    <mergeCell ref="K91:K92"/>
    <mergeCell ref="C111:D111"/>
    <mergeCell ref="E111:F111"/>
    <mergeCell ref="G111:H111"/>
    <mergeCell ref="B112:B113"/>
    <mergeCell ref="C112:D113"/>
    <mergeCell ref="E112:F113"/>
    <mergeCell ref="G112:H113"/>
    <mergeCell ref="B107:F108"/>
    <mergeCell ref="G107:H108"/>
    <mergeCell ref="I107:J108"/>
    <mergeCell ref="K107:K108"/>
    <mergeCell ref="B109:F110"/>
    <mergeCell ref="G109:G110"/>
    <mergeCell ref="H109:H110"/>
    <mergeCell ref="I109:J110"/>
    <mergeCell ref="K109:K110"/>
    <mergeCell ref="I96:I97"/>
    <mergeCell ref="J96:J97"/>
    <mergeCell ref="K96:K97"/>
    <mergeCell ref="C103:D103"/>
    <mergeCell ref="E103:F103"/>
    <mergeCell ref="G103:H103"/>
    <mergeCell ref="B104:B105"/>
    <mergeCell ref="C104:D105"/>
    <mergeCell ref="E104:F105"/>
    <mergeCell ref="G104:H105"/>
    <mergeCell ref="B99:F100"/>
    <mergeCell ref="G99:H100"/>
    <mergeCell ref="B101:F102"/>
    <mergeCell ref="I2:I3"/>
    <mergeCell ref="J2:J3"/>
    <mergeCell ref="K2:K3"/>
    <mergeCell ref="I83:J84"/>
    <mergeCell ref="K83:K84"/>
    <mergeCell ref="I85:J86"/>
    <mergeCell ref="K85:K86"/>
    <mergeCell ref="K75:K76"/>
    <mergeCell ref="I75:J76"/>
    <mergeCell ref="G34:J34"/>
    <mergeCell ref="K31:K34"/>
    <mergeCell ref="G27:J29"/>
    <mergeCell ref="G30:J30"/>
    <mergeCell ref="I5:I6"/>
    <mergeCell ref="I80:I81"/>
    <mergeCell ref="J80:J81"/>
    <mergeCell ref="K80:K81"/>
    <mergeCell ref="G79:H79"/>
    <mergeCell ref="G80:H81"/>
    <mergeCell ref="G77:G78"/>
    <mergeCell ref="H77:H78"/>
    <mergeCell ref="K77:K78"/>
    <mergeCell ref="K58:K60"/>
    <mergeCell ref="H58:J60"/>
    <mergeCell ref="T119:U120"/>
    <mergeCell ref="V119:W120"/>
    <mergeCell ref="X119:Y120"/>
    <mergeCell ref="M116:N117"/>
    <mergeCell ref="O116:O117"/>
    <mergeCell ref="O118:O119"/>
    <mergeCell ref="O120:O121"/>
    <mergeCell ref="O122:O123"/>
    <mergeCell ref="O126:O127"/>
    <mergeCell ref="O124:O125"/>
    <mergeCell ref="M118:N119"/>
    <mergeCell ref="M120:N121"/>
    <mergeCell ref="M122:N123"/>
    <mergeCell ref="M124:N125"/>
    <mergeCell ref="M126:N127"/>
    <mergeCell ref="I112:I113"/>
    <mergeCell ref="J112:J113"/>
    <mergeCell ref="K112:K113"/>
    <mergeCell ref="M128:N128"/>
    <mergeCell ref="M108:N109"/>
    <mergeCell ref="O108:Y109"/>
    <mergeCell ref="W112:Y113"/>
    <mergeCell ref="R127:Y128"/>
    <mergeCell ref="M111:P113"/>
    <mergeCell ref="S112:S113"/>
    <mergeCell ref="Q112:R113"/>
    <mergeCell ref="Q111:R111"/>
    <mergeCell ref="T111:V111"/>
    <mergeCell ref="W111:Y111"/>
    <mergeCell ref="T112:V113"/>
    <mergeCell ref="R121:Y122"/>
    <mergeCell ref="R125:Y126"/>
    <mergeCell ref="R123:Y124"/>
    <mergeCell ref="R115:Y116"/>
    <mergeCell ref="R117:S118"/>
    <mergeCell ref="T117:U118"/>
    <mergeCell ref="V117:W118"/>
    <mergeCell ref="X117:Y118"/>
    <mergeCell ref="R119:S120"/>
    <mergeCell ref="N89:O90"/>
    <mergeCell ref="N91:O92"/>
    <mergeCell ref="N93:O94"/>
    <mergeCell ref="N57:O58"/>
    <mergeCell ref="N25:N26"/>
    <mergeCell ref="O25:O26"/>
    <mergeCell ref="N27:N28"/>
    <mergeCell ref="O27:O28"/>
    <mergeCell ref="N29:N30"/>
    <mergeCell ref="O29:O30"/>
    <mergeCell ref="N59:O60"/>
    <mergeCell ref="N61:O62"/>
    <mergeCell ref="N55:O56"/>
    <mergeCell ref="N63:O64"/>
    <mergeCell ref="N65:O66"/>
    <mergeCell ref="N67:O68"/>
    <mergeCell ref="N71:N72"/>
    <mergeCell ref="O71:O72"/>
    <mergeCell ref="N73:N74"/>
    <mergeCell ref="O73:O74"/>
    <mergeCell ref="N69:O70"/>
    <mergeCell ref="N75:N76"/>
    <mergeCell ref="O75:O76"/>
    <mergeCell ref="N77:N78"/>
    <mergeCell ref="M35:M36"/>
    <mergeCell ref="M37:M38"/>
    <mergeCell ref="M39:M40"/>
    <mergeCell ref="M41:M42"/>
    <mergeCell ref="M43:M44"/>
    <mergeCell ref="M77:M78"/>
    <mergeCell ref="M79:M80"/>
    <mergeCell ref="M81:M82"/>
    <mergeCell ref="M45:M46"/>
    <mergeCell ref="M47:M48"/>
    <mergeCell ref="M49:M50"/>
    <mergeCell ref="M51:M52"/>
    <mergeCell ref="M55:M56"/>
    <mergeCell ref="M57:M58"/>
    <mergeCell ref="M59:M60"/>
    <mergeCell ref="M61:M62"/>
    <mergeCell ref="M17:M18"/>
    <mergeCell ref="M19:M20"/>
    <mergeCell ref="M21:M22"/>
    <mergeCell ref="M23:M24"/>
    <mergeCell ref="M25:M26"/>
    <mergeCell ref="M27:M28"/>
    <mergeCell ref="M29:M30"/>
    <mergeCell ref="M31:M32"/>
    <mergeCell ref="M33:M34"/>
    <mergeCell ref="M93:M94"/>
    <mergeCell ref="M69:M70"/>
    <mergeCell ref="M83:M84"/>
    <mergeCell ref="M85:M86"/>
    <mergeCell ref="M87:M88"/>
    <mergeCell ref="M89:M90"/>
    <mergeCell ref="M91:M92"/>
    <mergeCell ref="M63:M64"/>
    <mergeCell ref="M65:M66"/>
    <mergeCell ref="M67:M68"/>
    <mergeCell ref="M71:M72"/>
    <mergeCell ref="M73:M74"/>
    <mergeCell ref="M75:M76"/>
  </mergeCells>
  <pageMargins left="0.25" right="0.25" top="0.31" bottom="0.3" header="0.3" footer="0.3"/>
  <pageSetup paperSize="9" scale="46" orientation="portrait" r:id="rId1"/>
  <ignoredErrors>
    <ignoredError sqref="G49 Q39 Q23" formula="1"/>
    <ignoredError sqref="H12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ClassSkills">
                <anchor moveWithCells="1" sizeWithCells="1">
                  <from>
                    <xdr:col>27</xdr:col>
                    <xdr:colOff>104775</xdr:colOff>
                    <xdr:row>5</xdr:row>
                    <xdr:rowOff>28575</xdr:rowOff>
                  </from>
                  <to>
                    <xdr:col>30</xdr:col>
                    <xdr:colOff>190500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xr:uid="{00000000-0002-0000-0000-000000000000}">
          <x14:formula1>
            <xm:f>Fibonacci89!$A$2:$A$11</xm:f>
          </x14:formula1>
          <xm:sqref>I5:I6</xm:sqref>
        </x14:dataValidation>
        <x14:dataValidation type="list" showInputMessage="1" showErrorMessage="1" xr:uid="{00000000-0002-0000-0000-000001000000}">
          <x14:formula1>
            <xm:f>Fibonacci89!$A$14:$A$23</xm:f>
          </x14:formula1>
          <xm:sqref>E5:E6</xm:sqref>
        </x14:dataValidation>
        <x14:dataValidation type="list" showInputMessage="1" showErrorMessage="1" xr:uid="{00000000-0002-0000-0000-000002000000}">
          <x14:formula1>
            <xm:f>Fibonacci89!$C$14:$C$18</xm:f>
          </x14:formula1>
          <xm:sqref>J5:J6</xm:sqref>
        </x14:dataValidation>
        <x14:dataValidation type="list" showInputMessage="1" showErrorMessage="1" xr:uid="{00000000-0002-0000-0000-000003000000}">
          <x14:formula1>
            <xm:f>Fibonacci89!$E$3:$E$7</xm:f>
          </x14:formula1>
          <xm:sqref>K85:K86 K109:K110 K101:K102 K93:K94 K77:K78</xm:sqref>
        </x14:dataValidation>
        <x14:dataValidation type="list" showInputMessage="1" showErrorMessage="1" xr:uid="{00000000-0002-0000-0000-000004000000}">
          <x14:formula1>
            <xm:f>Fibonacci89!$D$3:$D$8</xm:f>
          </x14:formula1>
          <xm:sqref>I77:J78 I109:J110 I93:J94 I85:J86 I101:J102</xm:sqref>
        </x14:dataValidation>
        <x14:dataValidation type="list" showInputMessage="1" showErrorMessage="1" xr:uid="{00000000-0002-0000-0000-000005000000}">
          <x14:formula1>
            <xm:f>Fibonacci89!$F$2:$F$8</xm:f>
          </x14:formula1>
          <xm:sqref>G85:G86 G109:G110 G77:G78 G93:G94 S17:S94 G101:G102</xm:sqref>
        </x14:dataValidation>
        <x14:dataValidation type="list" showInputMessage="1" showErrorMessage="1" xr:uid="{00000000-0002-0000-0000-000006000000}">
          <x14:formula1>
            <xm:f>Fibonacci89!$J$2:$J$8</xm:f>
          </x14:formula1>
          <xm:sqref>B80:B81 B112:B113 B104:B105 B88:B89 B96:B97</xm:sqref>
        </x14:dataValidation>
        <x14:dataValidation type="list" allowBlank="1" showInputMessage="1" showErrorMessage="1" xr:uid="{00000000-0002-0000-0000-000007000000}">
          <x14:formula1>
            <xm:f>Fibonacci89!$F$10:$H$10</xm:f>
          </x14:formula1>
          <xm:sqref>G88:H89 G104:H105 G96:H97 G112:H113 G80:H81</xm:sqref>
        </x14:dataValidation>
        <x14:dataValidation type="list" showInputMessage="1" showErrorMessage="1" xr:uid="{00000000-0002-0000-0000-000008000000}">
          <x14:formula1>
            <xm:f>Fibonacci89!$F$14:$F$19</xm:f>
          </x14:formula1>
          <xm:sqref>U5:W6</xm:sqref>
        </x14:dataValidation>
        <x14:dataValidation type="list" allowBlank="1" showInputMessage="1" showErrorMessage="1" xr:uid="{00000000-0002-0000-0000-000009000000}">
          <x14:formula1>
            <xm:f>AC!$A$3:$A$47</xm:f>
          </x14:formula1>
          <xm:sqref>B119:E126 B117</xm:sqref>
        </x14:dataValidation>
        <x14:dataValidation type="list" showInputMessage="1" showErrorMessage="1" xr:uid="{00000000-0002-0000-0000-00000A000000}">
          <x14:formula1>
            <xm:f>Growth!$I$2:$K$2</xm:f>
          </x14:formula1>
          <xm:sqref>W127:Y128</xm:sqref>
        </x14:dataValidation>
        <x14:dataValidation type="list" showInputMessage="1" showErrorMessage="1" xr:uid="{00000000-0002-0000-0000-00000B000000}">
          <x14:formula1>
            <xm:f>Fibonacci89!$D$10:$E$10</xm:f>
          </x14:formula1>
          <xm:sqref>M17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0"/>
  <sheetViews>
    <sheetView workbookViewId="0">
      <selection activeCell="A2" sqref="A2"/>
    </sheetView>
  </sheetViews>
  <sheetFormatPr defaultColWidth="9.140625" defaultRowHeight="15.75"/>
  <cols>
    <col min="1" max="1" width="52.5703125" style="150" bestFit="1" customWidth="1"/>
    <col min="2" max="2" width="10.140625" style="152" bestFit="1" customWidth="1"/>
    <col min="3" max="3" width="12.28515625" style="152" customWidth="1"/>
    <col min="4" max="4" width="10.5703125" style="152" customWidth="1"/>
    <col min="5" max="5" width="12.140625" style="150" bestFit="1" customWidth="1"/>
    <col min="6" max="6" width="18.140625" style="150" bestFit="1" customWidth="1"/>
    <col min="7" max="16384" width="9.140625" style="151"/>
  </cols>
  <sheetData>
    <row r="1" spans="1:6" ht="39" customHeight="1">
      <c r="A1" s="153" t="s">
        <v>343</v>
      </c>
      <c r="B1" s="154" t="s">
        <v>142</v>
      </c>
      <c r="C1" s="154" t="s">
        <v>344</v>
      </c>
      <c r="D1" s="155" t="s">
        <v>346</v>
      </c>
      <c r="E1" s="145"/>
      <c r="F1" s="149" t="s">
        <v>345</v>
      </c>
    </row>
    <row r="2" spans="1:6">
      <c r="A2" s="146" t="str">
        <f>Sheet!B117</f>
        <v>Breastplate</v>
      </c>
      <c r="B2" s="147">
        <f>Sheet!K117</f>
        <v>30</v>
      </c>
      <c r="C2" s="148">
        <v>1</v>
      </c>
      <c r="D2" s="147">
        <f>B2*C2</f>
        <v>30</v>
      </c>
      <c r="E2" s="149" t="s">
        <v>353</v>
      </c>
      <c r="F2" s="149">
        <f>SUM(D:D)</f>
        <v>30</v>
      </c>
    </row>
    <row r="3" spans="1:6">
      <c r="A3" s="146" t="str">
        <f>Sheet!B119</f>
        <v>None</v>
      </c>
      <c r="B3" s="147">
        <f>Sheet!K118</f>
        <v>0</v>
      </c>
      <c r="C3" s="148">
        <v>1</v>
      </c>
      <c r="D3" s="147">
        <f t="shared" ref="D3:D60" si="0">B3*C3</f>
        <v>0</v>
      </c>
      <c r="E3" s="149" t="s">
        <v>353</v>
      </c>
      <c r="F3" s="149"/>
    </row>
    <row r="4" spans="1:6">
      <c r="A4" s="146" t="str">
        <f>Sheet!B121</f>
        <v>None</v>
      </c>
      <c r="B4" s="147">
        <f>Sheet!K119</f>
        <v>0</v>
      </c>
      <c r="C4" s="148">
        <v>1</v>
      </c>
      <c r="D4" s="147">
        <f t="shared" si="0"/>
        <v>0</v>
      </c>
      <c r="E4" s="149" t="s">
        <v>353</v>
      </c>
      <c r="F4" s="149"/>
    </row>
    <row r="5" spans="1:6">
      <c r="A5" s="146" t="str">
        <f>Sheet!B123</f>
        <v>None</v>
      </c>
      <c r="B5" s="147">
        <f>Sheet!K120</f>
        <v>0</v>
      </c>
      <c r="C5" s="148">
        <v>1</v>
      </c>
      <c r="D5" s="147">
        <f t="shared" si="0"/>
        <v>0</v>
      </c>
      <c r="E5" s="149" t="s">
        <v>353</v>
      </c>
      <c r="F5" s="149"/>
    </row>
    <row r="6" spans="1:6">
      <c r="A6" s="146" t="str">
        <f>Sheet!B125</f>
        <v>None</v>
      </c>
      <c r="B6" s="147">
        <f>Sheet!K121</f>
        <v>0</v>
      </c>
      <c r="C6" s="148">
        <v>1</v>
      </c>
      <c r="D6" s="147">
        <f t="shared" si="0"/>
        <v>0</v>
      </c>
      <c r="E6" s="149" t="s">
        <v>353</v>
      </c>
      <c r="F6" s="149"/>
    </row>
    <row r="7" spans="1:6">
      <c r="A7" s="149"/>
      <c r="B7" s="148"/>
      <c r="C7" s="148"/>
      <c r="D7" s="147">
        <f t="shared" si="0"/>
        <v>0</v>
      </c>
      <c r="E7" s="149"/>
      <c r="F7" s="149"/>
    </row>
    <row r="8" spans="1:6">
      <c r="A8" s="149"/>
      <c r="B8" s="148"/>
      <c r="C8" s="148"/>
      <c r="D8" s="147">
        <f t="shared" si="0"/>
        <v>0</v>
      </c>
      <c r="E8" s="149"/>
      <c r="F8" s="149"/>
    </row>
    <row r="9" spans="1:6">
      <c r="A9" s="149"/>
      <c r="B9" s="148"/>
      <c r="C9" s="148"/>
      <c r="D9" s="147">
        <f t="shared" si="0"/>
        <v>0</v>
      </c>
      <c r="E9" s="149"/>
      <c r="F9" s="149"/>
    </row>
    <row r="10" spans="1:6">
      <c r="A10" s="149"/>
      <c r="B10" s="148"/>
      <c r="C10" s="148"/>
      <c r="D10" s="147">
        <f t="shared" si="0"/>
        <v>0</v>
      </c>
    </row>
    <row r="11" spans="1:6">
      <c r="A11" s="149"/>
      <c r="B11" s="148"/>
      <c r="C11" s="148"/>
      <c r="D11" s="147">
        <f t="shared" si="0"/>
        <v>0</v>
      </c>
    </row>
    <row r="12" spans="1:6">
      <c r="A12" s="149"/>
      <c r="B12" s="148"/>
      <c r="C12" s="148"/>
      <c r="D12" s="147">
        <f t="shared" si="0"/>
        <v>0</v>
      </c>
    </row>
    <row r="13" spans="1:6">
      <c r="A13" s="149"/>
      <c r="B13" s="148"/>
      <c r="C13" s="148"/>
      <c r="D13" s="147">
        <f t="shared" si="0"/>
        <v>0</v>
      </c>
    </row>
    <row r="14" spans="1:6">
      <c r="A14" s="149"/>
      <c r="B14" s="148"/>
      <c r="C14" s="148"/>
      <c r="D14" s="147">
        <f t="shared" si="0"/>
        <v>0</v>
      </c>
    </row>
    <row r="15" spans="1:6">
      <c r="A15" s="149"/>
      <c r="B15" s="148"/>
      <c r="C15" s="148"/>
      <c r="D15" s="147">
        <f t="shared" si="0"/>
        <v>0</v>
      </c>
    </row>
    <row r="16" spans="1:6">
      <c r="A16" s="149"/>
      <c r="B16" s="148"/>
      <c r="C16" s="148"/>
      <c r="D16" s="147">
        <f t="shared" si="0"/>
        <v>0</v>
      </c>
    </row>
    <row r="17" spans="1:4">
      <c r="A17" s="149"/>
      <c r="B17" s="148"/>
      <c r="C17" s="148"/>
      <c r="D17" s="147">
        <f t="shared" si="0"/>
        <v>0</v>
      </c>
    </row>
    <row r="18" spans="1:4">
      <c r="A18" s="149"/>
      <c r="B18" s="148"/>
      <c r="C18" s="148"/>
      <c r="D18" s="147">
        <f t="shared" si="0"/>
        <v>0</v>
      </c>
    </row>
    <row r="19" spans="1:4">
      <c r="A19" s="149"/>
      <c r="B19" s="148"/>
      <c r="C19" s="148"/>
      <c r="D19" s="147">
        <f t="shared" si="0"/>
        <v>0</v>
      </c>
    </row>
    <row r="20" spans="1:4">
      <c r="A20" s="149"/>
      <c r="B20" s="148"/>
      <c r="C20" s="148"/>
      <c r="D20" s="147">
        <f t="shared" si="0"/>
        <v>0</v>
      </c>
    </row>
    <row r="21" spans="1:4">
      <c r="A21" s="149"/>
      <c r="B21" s="148"/>
      <c r="C21" s="148"/>
      <c r="D21" s="147">
        <f t="shared" si="0"/>
        <v>0</v>
      </c>
    </row>
    <row r="22" spans="1:4">
      <c r="A22" s="149"/>
      <c r="B22" s="148"/>
      <c r="C22" s="148"/>
      <c r="D22" s="147">
        <f t="shared" si="0"/>
        <v>0</v>
      </c>
    </row>
    <row r="23" spans="1:4">
      <c r="A23" s="149"/>
      <c r="B23" s="148"/>
      <c r="C23" s="148"/>
      <c r="D23" s="147">
        <f t="shared" si="0"/>
        <v>0</v>
      </c>
    </row>
    <row r="24" spans="1:4">
      <c r="A24" s="149"/>
      <c r="B24" s="148"/>
      <c r="C24" s="148"/>
      <c r="D24" s="147">
        <f t="shared" si="0"/>
        <v>0</v>
      </c>
    </row>
    <row r="25" spans="1:4">
      <c r="A25" s="149"/>
      <c r="B25" s="148"/>
      <c r="C25" s="148"/>
      <c r="D25" s="147">
        <f t="shared" si="0"/>
        <v>0</v>
      </c>
    </row>
    <row r="26" spans="1:4">
      <c r="A26" s="149"/>
      <c r="B26" s="148"/>
      <c r="C26" s="148"/>
      <c r="D26" s="147">
        <f t="shared" si="0"/>
        <v>0</v>
      </c>
    </row>
    <row r="27" spans="1:4">
      <c r="A27" s="149"/>
      <c r="B27" s="148"/>
      <c r="C27" s="148"/>
      <c r="D27" s="147">
        <f t="shared" si="0"/>
        <v>0</v>
      </c>
    </row>
    <row r="28" spans="1:4">
      <c r="A28" s="149"/>
      <c r="B28" s="148"/>
      <c r="C28" s="148"/>
      <c r="D28" s="147">
        <f t="shared" si="0"/>
        <v>0</v>
      </c>
    </row>
    <row r="29" spans="1:4">
      <c r="A29" s="149"/>
      <c r="B29" s="148"/>
      <c r="C29" s="148"/>
      <c r="D29" s="147">
        <f t="shared" si="0"/>
        <v>0</v>
      </c>
    </row>
    <row r="30" spans="1:4">
      <c r="B30" s="148"/>
      <c r="C30" s="148"/>
      <c r="D30" s="147">
        <f t="shared" si="0"/>
        <v>0</v>
      </c>
    </row>
    <row r="31" spans="1:4">
      <c r="A31" s="149"/>
      <c r="B31" s="148"/>
      <c r="C31" s="148"/>
      <c r="D31" s="147">
        <f t="shared" si="0"/>
        <v>0</v>
      </c>
    </row>
    <row r="32" spans="1:4">
      <c r="A32" s="149"/>
      <c r="B32" s="148"/>
      <c r="C32" s="148"/>
      <c r="D32" s="147">
        <f t="shared" si="0"/>
        <v>0</v>
      </c>
    </row>
    <row r="33" spans="1:4">
      <c r="A33" s="149"/>
      <c r="B33" s="148"/>
      <c r="C33" s="148"/>
      <c r="D33" s="147">
        <f t="shared" si="0"/>
        <v>0</v>
      </c>
    </row>
    <row r="34" spans="1:4">
      <c r="A34" s="149"/>
      <c r="B34" s="148"/>
      <c r="C34" s="148"/>
      <c r="D34" s="147">
        <f t="shared" si="0"/>
        <v>0</v>
      </c>
    </row>
    <row r="35" spans="1:4">
      <c r="A35" s="149"/>
      <c r="B35" s="148"/>
      <c r="C35" s="148"/>
      <c r="D35" s="147">
        <f t="shared" si="0"/>
        <v>0</v>
      </c>
    </row>
    <row r="36" spans="1:4">
      <c r="A36" s="149"/>
      <c r="B36" s="148"/>
      <c r="C36" s="148"/>
      <c r="D36" s="147">
        <f t="shared" si="0"/>
        <v>0</v>
      </c>
    </row>
    <row r="37" spans="1:4">
      <c r="A37" s="149"/>
      <c r="B37" s="148"/>
      <c r="C37" s="148"/>
      <c r="D37" s="147">
        <f t="shared" si="0"/>
        <v>0</v>
      </c>
    </row>
    <row r="38" spans="1:4">
      <c r="A38" s="149"/>
      <c r="B38" s="148"/>
      <c r="C38" s="148"/>
      <c r="D38" s="147">
        <f t="shared" si="0"/>
        <v>0</v>
      </c>
    </row>
    <row r="39" spans="1:4">
      <c r="A39" s="149"/>
      <c r="B39" s="148"/>
      <c r="C39" s="148"/>
      <c r="D39" s="147">
        <f t="shared" si="0"/>
        <v>0</v>
      </c>
    </row>
    <row r="40" spans="1:4">
      <c r="A40" s="149"/>
      <c r="B40" s="148"/>
      <c r="C40" s="148"/>
      <c r="D40" s="147">
        <f t="shared" si="0"/>
        <v>0</v>
      </c>
    </row>
    <row r="41" spans="1:4">
      <c r="A41" s="149"/>
      <c r="B41" s="148"/>
      <c r="C41" s="148"/>
      <c r="D41" s="147">
        <f t="shared" si="0"/>
        <v>0</v>
      </c>
    </row>
    <row r="42" spans="1:4">
      <c r="A42" s="149"/>
      <c r="B42" s="148"/>
      <c r="C42" s="148"/>
      <c r="D42" s="147">
        <f t="shared" si="0"/>
        <v>0</v>
      </c>
    </row>
    <row r="43" spans="1:4">
      <c r="A43" s="149"/>
      <c r="B43" s="148"/>
      <c r="C43" s="148"/>
      <c r="D43" s="147">
        <f t="shared" si="0"/>
        <v>0</v>
      </c>
    </row>
    <row r="44" spans="1:4">
      <c r="A44" s="149"/>
      <c r="B44" s="148"/>
      <c r="C44" s="148"/>
      <c r="D44" s="147">
        <f t="shared" si="0"/>
        <v>0</v>
      </c>
    </row>
    <row r="45" spans="1:4">
      <c r="A45" s="149"/>
      <c r="B45" s="148"/>
      <c r="C45" s="148"/>
      <c r="D45" s="147">
        <f t="shared" si="0"/>
        <v>0</v>
      </c>
    </row>
    <row r="46" spans="1:4">
      <c r="A46" s="149"/>
      <c r="B46" s="148"/>
      <c r="C46" s="148"/>
      <c r="D46" s="147">
        <f t="shared" si="0"/>
        <v>0</v>
      </c>
    </row>
    <row r="47" spans="1:4">
      <c r="A47" s="149"/>
      <c r="B47" s="148"/>
      <c r="C47" s="148"/>
      <c r="D47" s="147">
        <f t="shared" si="0"/>
        <v>0</v>
      </c>
    </row>
    <row r="48" spans="1:4">
      <c r="A48" s="149"/>
      <c r="B48" s="148"/>
      <c r="C48" s="148"/>
      <c r="D48" s="147">
        <f t="shared" si="0"/>
        <v>0</v>
      </c>
    </row>
    <row r="49" spans="1:4">
      <c r="A49" s="149"/>
      <c r="B49" s="148"/>
      <c r="C49" s="148"/>
      <c r="D49" s="147">
        <f t="shared" si="0"/>
        <v>0</v>
      </c>
    </row>
    <row r="50" spans="1:4">
      <c r="A50" s="149"/>
      <c r="B50" s="148"/>
      <c r="C50" s="148"/>
      <c r="D50" s="147">
        <f t="shared" si="0"/>
        <v>0</v>
      </c>
    </row>
    <row r="51" spans="1:4">
      <c r="A51" s="149"/>
      <c r="B51" s="148"/>
      <c r="C51" s="148"/>
      <c r="D51" s="147">
        <f t="shared" si="0"/>
        <v>0</v>
      </c>
    </row>
    <row r="52" spans="1:4">
      <c r="A52" s="149"/>
      <c r="B52" s="148"/>
      <c r="C52" s="148"/>
      <c r="D52" s="147">
        <f t="shared" si="0"/>
        <v>0</v>
      </c>
    </row>
    <row r="53" spans="1:4">
      <c r="A53" s="149"/>
      <c r="B53" s="148"/>
      <c r="C53" s="148"/>
      <c r="D53" s="147">
        <f t="shared" si="0"/>
        <v>0</v>
      </c>
    </row>
    <row r="54" spans="1:4">
      <c r="A54" s="149"/>
      <c r="B54" s="148"/>
      <c r="C54" s="148"/>
      <c r="D54" s="147">
        <f t="shared" si="0"/>
        <v>0</v>
      </c>
    </row>
    <row r="55" spans="1:4">
      <c r="A55" s="149"/>
      <c r="B55" s="148"/>
      <c r="C55" s="148"/>
      <c r="D55" s="147">
        <f t="shared" si="0"/>
        <v>0</v>
      </c>
    </row>
    <row r="56" spans="1:4">
      <c r="A56" s="149"/>
      <c r="B56" s="148"/>
      <c r="C56" s="148"/>
      <c r="D56" s="147">
        <f t="shared" si="0"/>
        <v>0</v>
      </c>
    </row>
    <row r="57" spans="1:4">
      <c r="A57" s="149"/>
      <c r="B57" s="148"/>
      <c r="C57" s="148"/>
      <c r="D57" s="147">
        <f t="shared" si="0"/>
        <v>0</v>
      </c>
    </row>
    <row r="58" spans="1:4">
      <c r="A58" s="149"/>
      <c r="B58" s="148"/>
      <c r="C58" s="148"/>
      <c r="D58" s="147">
        <f t="shared" si="0"/>
        <v>0</v>
      </c>
    </row>
    <row r="59" spans="1:4">
      <c r="A59" s="149"/>
      <c r="B59" s="148"/>
      <c r="C59" s="148"/>
      <c r="D59" s="147">
        <f t="shared" si="0"/>
        <v>0</v>
      </c>
    </row>
    <row r="60" spans="1:4">
      <c r="A60" s="149"/>
      <c r="B60" s="148"/>
      <c r="C60" s="148"/>
      <c r="D60" s="147">
        <f t="shared" si="0"/>
        <v>0</v>
      </c>
    </row>
    <row r="61" spans="1:4">
      <c r="D61" s="150"/>
    </row>
    <row r="62" spans="1:4">
      <c r="D62" s="150"/>
    </row>
    <row r="63" spans="1:4">
      <c r="D63" s="150"/>
    </row>
    <row r="64" spans="1:4">
      <c r="D64" s="150"/>
    </row>
    <row r="65" spans="4:4">
      <c r="D65" s="150"/>
    </row>
    <row r="66" spans="4:4">
      <c r="D66" s="150"/>
    </row>
    <row r="67" spans="4:4">
      <c r="D67" s="150"/>
    </row>
    <row r="68" spans="4:4">
      <c r="D68" s="150"/>
    </row>
    <row r="69" spans="4:4">
      <c r="D69" s="150"/>
    </row>
    <row r="70" spans="4:4">
      <c r="D70" s="150"/>
    </row>
    <row r="71" spans="4:4">
      <c r="D71" s="150"/>
    </row>
    <row r="72" spans="4:4">
      <c r="D72" s="150"/>
    </row>
    <row r="73" spans="4:4">
      <c r="D73" s="150"/>
    </row>
    <row r="74" spans="4:4">
      <c r="D74" s="150"/>
    </row>
    <row r="75" spans="4:4">
      <c r="D75" s="150"/>
    </row>
    <row r="76" spans="4:4">
      <c r="D76" s="150"/>
    </row>
    <row r="77" spans="4:4">
      <c r="D77" s="150"/>
    </row>
    <row r="78" spans="4:4">
      <c r="D78" s="150"/>
    </row>
    <row r="79" spans="4:4">
      <c r="D79" s="150"/>
    </row>
    <row r="80" spans="4:4">
      <c r="D80" s="150"/>
    </row>
    <row r="81" spans="4:4">
      <c r="D81" s="150"/>
    </row>
    <row r="82" spans="4:4">
      <c r="D82" s="150"/>
    </row>
    <row r="83" spans="4:4">
      <c r="D83" s="150"/>
    </row>
    <row r="84" spans="4:4">
      <c r="D84" s="150"/>
    </row>
    <row r="85" spans="4:4">
      <c r="D85" s="150"/>
    </row>
    <row r="86" spans="4:4">
      <c r="D86" s="150"/>
    </row>
    <row r="87" spans="4:4">
      <c r="D87" s="150"/>
    </row>
    <row r="88" spans="4:4">
      <c r="D88" s="150"/>
    </row>
    <row r="89" spans="4:4">
      <c r="D89" s="150"/>
    </row>
    <row r="90" spans="4:4">
      <c r="D90" s="150"/>
    </row>
    <row r="91" spans="4:4">
      <c r="D91" s="150"/>
    </row>
    <row r="92" spans="4:4">
      <c r="D92" s="150"/>
    </row>
    <row r="93" spans="4:4">
      <c r="D93" s="150"/>
    </row>
    <row r="94" spans="4:4">
      <c r="D94" s="150"/>
    </row>
    <row r="95" spans="4:4">
      <c r="D95" s="150"/>
    </row>
    <row r="96" spans="4:4">
      <c r="D96" s="150"/>
    </row>
    <row r="97" spans="4:4">
      <c r="D97" s="150"/>
    </row>
    <row r="98" spans="4:4">
      <c r="D98" s="150"/>
    </row>
    <row r="99" spans="4:4">
      <c r="D99" s="150"/>
    </row>
    <row r="100" spans="4:4">
      <c r="D100" s="15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E83"/>
  <sheetViews>
    <sheetView workbookViewId="0">
      <selection activeCell="O3" sqref="O3"/>
    </sheetView>
  </sheetViews>
  <sheetFormatPr defaultColWidth="9.140625" defaultRowHeight="15"/>
  <cols>
    <col min="1" max="1" width="22.140625" style="131" customWidth="1"/>
    <col min="2" max="57" width="3.7109375" style="131" bestFit="1" customWidth="1"/>
    <col min="58" max="16384" width="9.140625" style="131"/>
  </cols>
  <sheetData>
    <row r="1" spans="1:57" s="130" customFormat="1" ht="147">
      <c r="A1" s="135" t="s">
        <v>357</v>
      </c>
      <c r="B1" s="136" t="s">
        <v>3</v>
      </c>
      <c r="C1" s="137" t="s">
        <v>4</v>
      </c>
      <c r="D1" s="138" t="s">
        <v>5</v>
      </c>
      <c r="E1" s="139" t="s">
        <v>6</v>
      </c>
      <c r="F1" s="140" t="s">
        <v>7</v>
      </c>
      <c r="G1" s="141" t="s">
        <v>8</v>
      </c>
      <c r="H1" s="138" t="s">
        <v>358</v>
      </c>
      <c r="I1" s="138" t="s">
        <v>359</v>
      </c>
      <c r="J1" s="138" t="s">
        <v>360</v>
      </c>
      <c r="K1" s="138" t="s">
        <v>361</v>
      </c>
      <c r="L1" s="138" t="s">
        <v>209</v>
      </c>
      <c r="M1" s="138" t="s">
        <v>81</v>
      </c>
      <c r="N1" s="138" t="s">
        <v>82</v>
      </c>
      <c r="O1" s="137" t="s">
        <v>150</v>
      </c>
      <c r="P1" s="139" t="s">
        <v>155</v>
      </c>
      <c r="Q1" s="141" t="s">
        <v>159</v>
      </c>
      <c r="R1" s="136" t="s">
        <v>160</v>
      </c>
      <c r="S1" s="139" t="s">
        <v>362</v>
      </c>
      <c r="T1" s="139" t="s">
        <v>363</v>
      </c>
      <c r="U1" s="139" t="s">
        <v>364</v>
      </c>
      <c r="V1" s="141" t="s">
        <v>161</v>
      </c>
      <c r="W1" s="137" t="s">
        <v>167</v>
      </c>
      <c r="X1" s="141" t="s">
        <v>162</v>
      </c>
      <c r="Y1" s="137" t="s">
        <v>163</v>
      </c>
      <c r="Z1" s="137" t="s">
        <v>164</v>
      </c>
      <c r="AA1" s="141" t="s">
        <v>168</v>
      </c>
      <c r="AB1" s="140" t="s">
        <v>165</v>
      </c>
      <c r="AC1" s="141" t="s">
        <v>166</v>
      </c>
      <c r="AD1" s="139" t="s">
        <v>389</v>
      </c>
      <c r="AE1" s="139" t="s">
        <v>390</v>
      </c>
      <c r="AF1" s="139" t="s">
        <v>391</v>
      </c>
      <c r="AG1" s="139" t="s">
        <v>392</v>
      </c>
      <c r="AH1" s="139" t="s">
        <v>393</v>
      </c>
      <c r="AI1" s="139" t="s">
        <v>394</v>
      </c>
      <c r="AJ1" s="139" t="s">
        <v>395</v>
      </c>
      <c r="AK1" s="139" t="s">
        <v>396</v>
      </c>
      <c r="AL1" s="139" t="s">
        <v>397</v>
      </c>
      <c r="AM1" s="139" t="s">
        <v>398</v>
      </c>
      <c r="AN1" s="139" t="s">
        <v>169</v>
      </c>
      <c r="AO1" s="140" t="s">
        <v>370</v>
      </c>
      <c r="AP1" s="141" t="s">
        <v>365</v>
      </c>
      <c r="AQ1" s="141" t="s">
        <v>366</v>
      </c>
      <c r="AR1" s="140" t="s">
        <v>367</v>
      </c>
      <c r="AS1" s="140" t="s">
        <v>368</v>
      </c>
      <c r="AT1" s="137" t="s">
        <v>170</v>
      </c>
      <c r="AU1" s="140" t="s">
        <v>171</v>
      </c>
      <c r="AV1" s="137" t="s">
        <v>172</v>
      </c>
      <c r="AW1" s="139" t="s">
        <v>173</v>
      </c>
      <c r="AX1" s="137" t="s">
        <v>174</v>
      </c>
      <c r="AY1" s="140" t="s">
        <v>175</v>
      </c>
      <c r="AZ1" s="136" t="s">
        <v>176</v>
      </c>
      <c r="BA1" s="141" t="s">
        <v>177</v>
      </c>
      <c r="BB1" s="142" t="s">
        <v>371</v>
      </c>
      <c r="BC1" s="142" t="s">
        <v>372</v>
      </c>
      <c r="BD1" s="142" t="s">
        <v>373</v>
      </c>
      <c r="BE1" s="142" t="s">
        <v>381</v>
      </c>
    </row>
    <row r="2" spans="1:57">
      <c r="A2" s="144" t="s">
        <v>21</v>
      </c>
      <c r="B2" s="143">
        <f>SUM(B3:B53)</f>
        <v>0</v>
      </c>
      <c r="C2" s="143">
        <f t="shared" ref="C2:BE2" si="0">SUM(C3:C53)</f>
        <v>0</v>
      </c>
      <c r="D2" s="143">
        <f t="shared" si="0"/>
        <v>0</v>
      </c>
      <c r="E2" s="143">
        <f t="shared" si="0"/>
        <v>0</v>
      </c>
      <c r="F2" s="143">
        <f t="shared" si="0"/>
        <v>0</v>
      </c>
      <c r="G2" s="143">
        <f t="shared" si="0"/>
        <v>0</v>
      </c>
      <c r="H2" s="143">
        <f t="shared" si="0"/>
        <v>0</v>
      </c>
      <c r="I2" s="143">
        <f t="shared" si="0"/>
        <v>0</v>
      </c>
      <c r="J2" s="143">
        <f t="shared" si="0"/>
        <v>0</v>
      </c>
      <c r="K2" s="143">
        <f t="shared" si="0"/>
        <v>0</v>
      </c>
      <c r="L2" s="143">
        <f t="shared" si="0"/>
        <v>0</v>
      </c>
      <c r="M2" s="143">
        <f t="shared" si="0"/>
        <v>0</v>
      </c>
      <c r="N2" s="143">
        <f t="shared" si="0"/>
        <v>0</v>
      </c>
      <c r="O2" s="143">
        <f t="shared" si="0"/>
        <v>-4</v>
      </c>
      <c r="P2" s="143">
        <f t="shared" si="0"/>
        <v>0</v>
      </c>
      <c r="Q2" s="143">
        <f t="shared" si="0"/>
        <v>0</v>
      </c>
      <c r="R2" s="143">
        <f t="shared" si="0"/>
        <v>-4</v>
      </c>
      <c r="S2" s="143">
        <f t="shared" si="0"/>
        <v>0</v>
      </c>
      <c r="T2" s="143">
        <f t="shared" si="0"/>
        <v>0</v>
      </c>
      <c r="U2" s="143">
        <f t="shared" si="0"/>
        <v>0</v>
      </c>
      <c r="V2" s="143">
        <f t="shared" si="0"/>
        <v>0</v>
      </c>
      <c r="W2" s="143">
        <f t="shared" si="0"/>
        <v>-4</v>
      </c>
      <c r="X2" s="143">
        <f t="shared" si="0"/>
        <v>0</v>
      </c>
      <c r="Y2" s="143">
        <f t="shared" si="0"/>
        <v>-4</v>
      </c>
      <c r="Z2" s="143">
        <f t="shared" si="0"/>
        <v>-4</v>
      </c>
      <c r="AA2" s="143">
        <f t="shared" si="0"/>
        <v>0</v>
      </c>
      <c r="AB2" s="143">
        <f t="shared" si="0"/>
        <v>0</v>
      </c>
      <c r="AC2" s="143">
        <f t="shared" si="0"/>
        <v>0</v>
      </c>
      <c r="AD2" s="143">
        <f t="shared" si="0"/>
        <v>0</v>
      </c>
      <c r="AE2" s="143">
        <f t="shared" si="0"/>
        <v>0</v>
      </c>
      <c r="AF2" s="143">
        <f t="shared" si="0"/>
        <v>0</v>
      </c>
      <c r="AG2" s="143">
        <f t="shared" si="0"/>
        <v>0</v>
      </c>
      <c r="AH2" s="143">
        <f t="shared" si="0"/>
        <v>0</v>
      </c>
      <c r="AI2" s="143">
        <f t="shared" si="0"/>
        <v>0</v>
      </c>
      <c r="AJ2" s="143">
        <f t="shared" si="0"/>
        <v>0</v>
      </c>
      <c r="AK2" s="143">
        <f t="shared" si="0"/>
        <v>0</v>
      </c>
      <c r="AL2" s="143">
        <f t="shared" si="0"/>
        <v>0</v>
      </c>
      <c r="AM2" s="143">
        <f t="shared" si="0"/>
        <v>0</v>
      </c>
      <c r="AN2" s="143">
        <f t="shared" si="0"/>
        <v>0</v>
      </c>
      <c r="AO2" s="143">
        <f t="shared" si="0"/>
        <v>0</v>
      </c>
      <c r="AP2" s="143">
        <f t="shared" si="0"/>
        <v>0</v>
      </c>
      <c r="AQ2" s="143">
        <f t="shared" si="0"/>
        <v>0</v>
      </c>
      <c r="AR2" s="143">
        <f t="shared" si="0"/>
        <v>0</v>
      </c>
      <c r="AS2" s="143">
        <f t="shared" si="0"/>
        <v>0</v>
      </c>
      <c r="AT2" s="143">
        <f t="shared" si="0"/>
        <v>-4</v>
      </c>
      <c r="AU2" s="143">
        <f t="shared" si="0"/>
        <v>0</v>
      </c>
      <c r="AV2" s="143">
        <f t="shared" si="0"/>
        <v>-4</v>
      </c>
      <c r="AW2" s="143">
        <f t="shared" si="0"/>
        <v>0</v>
      </c>
      <c r="AX2" s="143">
        <f t="shared" si="0"/>
        <v>-4</v>
      </c>
      <c r="AY2" s="143">
        <f t="shared" si="0"/>
        <v>0</v>
      </c>
      <c r="AZ2" s="143">
        <f t="shared" si="0"/>
        <v>-4</v>
      </c>
      <c r="BA2" s="143">
        <f t="shared" si="0"/>
        <v>0</v>
      </c>
      <c r="BB2" s="143">
        <f t="shared" si="0"/>
        <v>0</v>
      </c>
      <c r="BC2" s="143">
        <f t="shared" si="0"/>
        <v>0</v>
      </c>
      <c r="BD2" s="143">
        <f t="shared" si="0"/>
        <v>0</v>
      </c>
      <c r="BE2" s="143">
        <f t="shared" si="0"/>
        <v>0</v>
      </c>
    </row>
    <row r="3" spans="1:57">
      <c r="A3" s="131" t="s">
        <v>337</v>
      </c>
      <c r="D3" s="132"/>
      <c r="E3" s="132"/>
      <c r="F3" s="132"/>
      <c r="G3" s="132"/>
      <c r="H3" s="132"/>
      <c r="I3" s="132"/>
      <c r="J3" s="132"/>
      <c r="K3" s="132"/>
      <c r="L3" s="132"/>
      <c r="M3" s="132"/>
      <c r="O3" s="158">
        <f>Fibonacci89!$C$33</f>
        <v>-4</v>
      </c>
      <c r="R3" s="158">
        <f>Fibonacci89!$C$33</f>
        <v>-4</v>
      </c>
      <c r="W3" s="158">
        <f>Fibonacci89!$C$33</f>
        <v>-4</v>
      </c>
      <c r="Y3" s="158">
        <f>Fibonacci89!$C$33</f>
        <v>-4</v>
      </c>
      <c r="Z3" s="158">
        <f>Fibonacci89!$C$33</f>
        <v>-4</v>
      </c>
      <c r="AT3" s="158">
        <f>Fibonacci89!$C$33</f>
        <v>-4</v>
      </c>
      <c r="AV3" s="158">
        <f>Fibonacci89!$C$33</f>
        <v>-4</v>
      </c>
      <c r="AX3" s="158">
        <f>Fibonacci89!$C$33</f>
        <v>-4</v>
      </c>
      <c r="AZ3" s="158">
        <f>Fibonacci89!$C$33</f>
        <v>-4</v>
      </c>
    </row>
    <row r="4" spans="1:57">
      <c r="A4" s="131" t="s">
        <v>382</v>
      </c>
      <c r="O4" s="125"/>
    </row>
    <row r="6" spans="1:57">
      <c r="O6" s="125"/>
    </row>
    <row r="7" spans="1:57">
      <c r="O7" s="125"/>
    </row>
    <row r="8" spans="1:57" ht="15" customHeight="1">
      <c r="O8" s="125"/>
    </row>
    <row r="9" spans="1:57" ht="15" customHeight="1">
      <c r="O9" s="125"/>
    </row>
    <row r="10" spans="1:57" ht="15" customHeight="1">
      <c r="B10" s="133"/>
      <c r="C10" s="133"/>
      <c r="D10" s="133"/>
      <c r="N10" s="125"/>
    </row>
    <row r="11" spans="1:57" ht="15" customHeight="1">
      <c r="B11" s="133"/>
      <c r="C11" s="133"/>
      <c r="D11" s="133"/>
      <c r="N11" s="125"/>
    </row>
    <row r="12" spans="1:57" ht="15" customHeight="1">
      <c r="B12" s="133"/>
      <c r="C12" s="133"/>
      <c r="D12" s="133"/>
      <c r="N12" s="125"/>
    </row>
    <row r="13" spans="1:57" ht="15" customHeight="1">
      <c r="B13" s="133"/>
      <c r="C13" s="133"/>
      <c r="D13" s="133"/>
      <c r="N13" s="125"/>
    </row>
    <row r="14" spans="1:57" ht="15" customHeight="1">
      <c r="B14" s="133"/>
      <c r="C14" s="133"/>
      <c r="D14" s="133"/>
      <c r="N14" s="125"/>
    </row>
    <row r="15" spans="1:57" ht="15" customHeight="1">
      <c r="B15" s="133"/>
      <c r="C15" s="133"/>
      <c r="D15" s="133"/>
      <c r="N15" s="125"/>
    </row>
    <row r="16" spans="1:57" ht="15" customHeight="1">
      <c r="B16" s="133"/>
      <c r="C16" s="133"/>
      <c r="D16" s="133"/>
      <c r="N16" s="125"/>
    </row>
    <row r="17" spans="2:14" ht="15" customHeight="1">
      <c r="B17" s="133"/>
      <c r="C17" s="133"/>
      <c r="D17" s="133"/>
      <c r="N17" s="125"/>
    </row>
    <row r="18" spans="2:14" ht="15" customHeight="1">
      <c r="B18" s="133"/>
      <c r="C18" s="133"/>
      <c r="D18" s="133"/>
      <c r="N18" s="125"/>
    </row>
    <row r="19" spans="2:14" ht="15" customHeight="1">
      <c r="B19" s="133"/>
      <c r="C19" s="133"/>
      <c r="D19" s="133"/>
      <c r="N19" s="125"/>
    </row>
    <row r="20" spans="2:14" ht="15" customHeight="1">
      <c r="B20" s="133"/>
      <c r="C20" s="133"/>
      <c r="D20" s="133"/>
      <c r="N20" s="125"/>
    </row>
    <row r="21" spans="2:14" ht="15" customHeight="1">
      <c r="B21" s="133"/>
      <c r="C21" s="133"/>
      <c r="D21" s="133"/>
      <c r="N21" s="125"/>
    </row>
    <row r="22" spans="2:14" ht="15" customHeight="1">
      <c r="B22" s="133"/>
      <c r="C22" s="133"/>
      <c r="D22" s="133"/>
      <c r="N22" s="125"/>
    </row>
    <row r="23" spans="2:14" ht="15" customHeight="1">
      <c r="B23" s="133"/>
      <c r="C23" s="133"/>
      <c r="D23" s="133"/>
      <c r="N23" s="125"/>
    </row>
    <row r="24" spans="2:14" ht="15" customHeight="1">
      <c r="B24" s="133"/>
      <c r="C24" s="133"/>
      <c r="D24" s="133"/>
      <c r="N24" s="125"/>
    </row>
    <row r="25" spans="2:14" ht="15" customHeight="1">
      <c r="B25" s="133"/>
      <c r="C25" s="133"/>
      <c r="D25" s="133"/>
      <c r="N25" s="125"/>
    </row>
    <row r="26" spans="2:14" ht="15" customHeight="1">
      <c r="B26" s="133"/>
      <c r="C26" s="133"/>
      <c r="D26" s="133"/>
      <c r="N26" s="125"/>
    </row>
    <row r="27" spans="2:14" ht="15" customHeight="1">
      <c r="B27" s="133"/>
      <c r="C27" s="133"/>
      <c r="D27" s="133"/>
      <c r="N27" s="125"/>
    </row>
    <row r="28" spans="2:14" ht="15" customHeight="1">
      <c r="B28" s="133"/>
      <c r="C28" s="133"/>
      <c r="D28" s="133"/>
      <c r="N28" s="125"/>
    </row>
    <row r="29" spans="2:14" ht="15" customHeight="1">
      <c r="B29" s="133"/>
      <c r="C29" s="133"/>
      <c r="D29" s="133"/>
      <c r="N29" s="125"/>
    </row>
    <row r="30" spans="2:14" ht="15" customHeight="1">
      <c r="B30" s="133"/>
      <c r="C30" s="133"/>
      <c r="D30" s="133"/>
      <c r="N30" s="125"/>
    </row>
    <row r="31" spans="2:14" ht="15" customHeight="1">
      <c r="B31" s="133"/>
      <c r="C31" s="133"/>
      <c r="D31" s="133"/>
      <c r="N31" s="125"/>
    </row>
    <row r="32" spans="2:14" ht="15" customHeight="1">
      <c r="B32" s="133"/>
      <c r="C32" s="133"/>
      <c r="D32" s="133"/>
      <c r="N32" s="125"/>
    </row>
    <row r="33" spans="2:14" ht="15" customHeight="1">
      <c r="B33" s="133"/>
      <c r="C33" s="133"/>
      <c r="D33" s="133"/>
      <c r="N33" s="125"/>
    </row>
    <row r="34" spans="2:14" ht="15" customHeight="1">
      <c r="B34" s="133"/>
      <c r="C34" s="133"/>
      <c r="D34" s="133"/>
      <c r="N34" s="125"/>
    </row>
    <row r="35" spans="2:14" ht="15" customHeight="1">
      <c r="B35" s="133"/>
      <c r="C35" s="133"/>
      <c r="D35" s="133"/>
      <c r="N35" s="125"/>
    </row>
    <row r="36" spans="2:14" ht="15" customHeight="1">
      <c r="B36" s="133"/>
      <c r="C36" s="133"/>
      <c r="D36" s="133"/>
      <c r="N36" s="125"/>
    </row>
    <row r="37" spans="2:14" ht="15" customHeight="1">
      <c r="B37" s="133"/>
      <c r="C37" s="133"/>
      <c r="D37" s="133"/>
      <c r="N37" s="125"/>
    </row>
    <row r="38" spans="2:14" ht="15" customHeight="1">
      <c r="B38" s="133"/>
      <c r="C38" s="133"/>
      <c r="D38" s="133"/>
      <c r="N38" s="125"/>
    </row>
    <row r="39" spans="2:14" ht="15" customHeight="1">
      <c r="B39" s="133"/>
      <c r="C39" s="133"/>
      <c r="D39" s="133"/>
      <c r="N39" s="125"/>
    </row>
    <row r="40" spans="2:14" ht="15" customHeight="1">
      <c r="B40" s="133"/>
      <c r="C40" s="133"/>
      <c r="D40" s="133"/>
    </row>
    <row r="41" spans="2:14" ht="15" customHeight="1">
      <c r="B41" s="133"/>
      <c r="C41" s="133"/>
      <c r="D41" s="133"/>
    </row>
    <row r="42" spans="2:14" ht="15" customHeight="1">
      <c r="B42" s="133"/>
      <c r="C42" s="133"/>
      <c r="D42" s="133"/>
    </row>
    <row r="43" spans="2:14" ht="15" customHeight="1">
      <c r="B43" s="133"/>
      <c r="C43" s="133"/>
      <c r="D43" s="133"/>
    </row>
    <row r="44" spans="2:14" ht="15" customHeight="1">
      <c r="B44" s="133"/>
      <c r="C44" s="133"/>
      <c r="D44" s="133"/>
    </row>
    <row r="45" spans="2:14" ht="15" customHeight="1">
      <c r="B45" s="133"/>
      <c r="C45" s="133"/>
      <c r="D45" s="133"/>
    </row>
    <row r="46" spans="2:14" ht="15" customHeight="1">
      <c r="B46" s="133"/>
      <c r="C46" s="133"/>
      <c r="D46" s="133"/>
    </row>
    <row r="47" spans="2:14" ht="15" customHeight="1">
      <c r="B47" s="133"/>
      <c r="C47" s="133"/>
      <c r="D47" s="133"/>
    </row>
    <row r="48" spans="2:14" ht="15" customHeight="1">
      <c r="B48" s="133"/>
      <c r="C48" s="133"/>
      <c r="D48" s="133"/>
    </row>
    <row r="49" spans="2:4" ht="15" customHeight="1">
      <c r="B49" s="133"/>
      <c r="C49" s="133"/>
      <c r="D49" s="133"/>
    </row>
    <row r="50" spans="2:4" ht="15" customHeight="1">
      <c r="B50" s="133"/>
      <c r="C50" s="133"/>
      <c r="D50" s="133"/>
    </row>
    <row r="51" spans="2:4" ht="15" customHeight="1">
      <c r="B51" s="133"/>
      <c r="C51" s="133"/>
      <c r="D51" s="133"/>
    </row>
    <row r="52" spans="2:4" ht="15" customHeight="1">
      <c r="B52" s="133"/>
      <c r="C52" s="133"/>
      <c r="D52" s="133"/>
    </row>
    <row r="53" spans="2:4" ht="15" customHeight="1">
      <c r="B53" s="133"/>
      <c r="C53" s="133"/>
      <c r="D53" s="133"/>
    </row>
    <row r="54" spans="2:4" ht="15" customHeight="1">
      <c r="B54" s="133"/>
      <c r="C54" s="133"/>
      <c r="D54" s="133"/>
    </row>
    <row r="55" spans="2:4" ht="15" customHeight="1">
      <c r="B55" s="133"/>
      <c r="C55" s="133"/>
      <c r="D55" s="133"/>
    </row>
    <row r="56" spans="2:4" ht="15" customHeight="1">
      <c r="B56" s="133"/>
      <c r="C56" s="133"/>
      <c r="D56" s="133"/>
    </row>
    <row r="57" spans="2:4" ht="15" customHeight="1">
      <c r="B57" s="133"/>
      <c r="C57" s="133"/>
      <c r="D57" s="133"/>
    </row>
    <row r="58" spans="2:4" ht="15" customHeight="1">
      <c r="B58" s="133"/>
      <c r="C58" s="133"/>
      <c r="D58" s="133"/>
    </row>
    <row r="59" spans="2:4" ht="15" customHeight="1">
      <c r="B59" s="133"/>
      <c r="C59" s="133"/>
      <c r="D59" s="133"/>
    </row>
    <row r="60" spans="2:4" ht="15" customHeight="1">
      <c r="B60" s="133"/>
      <c r="C60" s="133"/>
      <c r="D60" s="133"/>
    </row>
    <row r="61" spans="2:4" ht="15" customHeight="1">
      <c r="B61" s="133"/>
      <c r="C61" s="133"/>
      <c r="D61" s="133"/>
    </row>
    <row r="62" spans="2:4" ht="15" customHeight="1">
      <c r="B62" s="133"/>
      <c r="C62" s="133"/>
      <c r="D62" s="133"/>
    </row>
    <row r="63" spans="2:4" ht="15" customHeight="1">
      <c r="B63" s="133"/>
      <c r="C63" s="133"/>
      <c r="D63" s="133"/>
    </row>
    <row r="64" spans="2:4" ht="15" customHeight="1">
      <c r="B64" s="133"/>
      <c r="C64" s="133"/>
      <c r="D64" s="133"/>
    </row>
    <row r="65" spans="2:4" ht="15" customHeight="1">
      <c r="B65" s="133"/>
      <c r="C65" s="133"/>
      <c r="D65" s="133"/>
    </row>
    <row r="66" spans="2:4" ht="15" customHeight="1">
      <c r="B66" s="133"/>
      <c r="C66" s="133"/>
      <c r="D66" s="133"/>
    </row>
    <row r="67" spans="2:4" ht="15" customHeight="1">
      <c r="B67" s="133"/>
      <c r="C67" s="133"/>
      <c r="D67" s="133"/>
    </row>
    <row r="68" spans="2:4" ht="15" customHeight="1">
      <c r="B68" s="133"/>
      <c r="C68" s="133"/>
      <c r="D68" s="133"/>
    </row>
    <row r="69" spans="2:4" ht="15" customHeight="1">
      <c r="B69" s="133"/>
      <c r="C69" s="133"/>
      <c r="D69" s="133"/>
    </row>
    <row r="70" spans="2:4" ht="15" customHeight="1">
      <c r="B70" s="133"/>
      <c r="C70" s="133"/>
      <c r="D70" s="133"/>
    </row>
    <row r="71" spans="2:4" ht="15" customHeight="1">
      <c r="B71" s="133"/>
      <c r="C71" s="133"/>
      <c r="D71" s="133"/>
    </row>
    <row r="72" spans="2:4" ht="15" customHeight="1">
      <c r="B72" s="133"/>
      <c r="C72" s="133"/>
      <c r="D72" s="133"/>
    </row>
    <row r="73" spans="2:4" ht="15" customHeight="1">
      <c r="B73" s="133"/>
      <c r="C73" s="133"/>
      <c r="D73" s="133"/>
    </row>
    <row r="74" spans="2:4" ht="15" customHeight="1">
      <c r="B74" s="133"/>
      <c r="C74" s="133"/>
      <c r="D74" s="133"/>
    </row>
    <row r="75" spans="2:4" ht="15" customHeight="1">
      <c r="B75" s="133"/>
      <c r="C75" s="133"/>
      <c r="D75" s="133"/>
    </row>
    <row r="76" spans="2:4" ht="15" customHeight="1">
      <c r="B76" s="133"/>
      <c r="C76" s="133"/>
      <c r="D76" s="133"/>
    </row>
    <row r="77" spans="2:4" ht="15" customHeight="1">
      <c r="B77" s="133"/>
      <c r="C77" s="133"/>
      <c r="D77" s="133"/>
    </row>
    <row r="78" spans="2:4" ht="15" customHeight="1">
      <c r="B78" s="133"/>
      <c r="C78" s="133"/>
      <c r="D78" s="133"/>
    </row>
    <row r="79" spans="2:4" ht="15" customHeight="1">
      <c r="B79" s="133"/>
      <c r="C79" s="133"/>
      <c r="D79" s="133"/>
    </row>
    <row r="80" spans="2:4" ht="15" customHeight="1">
      <c r="B80" s="133"/>
      <c r="C80" s="133"/>
      <c r="D80" s="133"/>
    </row>
    <row r="81" spans="1:4" ht="15" customHeight="1">
      <c r="B81" s="133"/>
      <c r="C81" s="133"/>
      <c r="D81" s="133"/>
    </row>
    <row r="82" spans="1:4" ht="15" customHeight="1">
      <c r="A82" s="134"/>
      <c r="B82" s="133"/>
      <c r="C82" s="133"/>
      <c r="D82" s="133"/>
    </row>
    <row r="83" spans="1:4" ht="15" customHeight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3"/>
  <sheetViews>
    <sheetView workbookViewId="0">
      <selection activeCell="G35" sqref="G35"/>
    </sheetView>
  </sheetViews>
  <sheetFormatPr defaultRowHeight="15"/>
  <cols>
    <col min="1" max="1" width="6.5703125" style="57" bestFit="1" customWidth="1"/>
    <col min="2" max="2" width="10.7109375" style="57" bestFit="1" customWidth="1"/>
    <col min="3" max="3" width="9.7109375" style="57" bestFit="1" customWidth="1"/>
    <col min="4" max="4" width="9.28515625" style="57" bestFit="1" customWidth="1"/>
    <col min="5" max="5" width="6.7109375" style="57" bestFit="1" customWidth="1"/>
    <col min="6" max="6" width="5" style="57" bestFit="1" customWidth="1"/>
    <col min="7" max="7" width="14.7109375" bestFit="1" customWidth="1"/>
    <col min="8" max="8" width="21.140625" bestFit="1" customWidth="1"/>
    <col min="9" max="11" width="9.140625" bestFit="1" customWidth="1"/>
    <col min="12" max="12" width="12.28515625" bestFit="1" customWidth="1"/>
    <col min="13" max="13" width="14.7109375" bestFit="1" customWidth="1"/>
    <col min="14" max="14" width="21.140625" bestFit="1" customWidth="1"/>
  </cols>
  <sheetData>
    <row r="1" spans="1:16">
      <c r="A1" s="63" t="s">
        <v>214</v>
      </c>
      <c r="B1" s="64" t="s">
        <v>209</v>
      </c>
      <c r="C1" s="64" t="s">
        <v>209</v>
      </c>
      <c r="D1" s="64" t="s">
        <v>211</v>
      </c>
      <c r="E1" s="64" t="s">
        <v>212</v>
      </c>
      <c r="F1" s="64" t="s">
        <v>213</v>
      </c>
      <c r="G1" s="470" t="s">
        <v>333</v>
      </c>
      <c r="H1" s="471"/>
      <c r="I1" s="31"/>
      <c r="J1" s="472" t="s">
        <v>334</v>
      </c>
      <c r="K1" s="473"/>
      <c r="L1" s="474"/>
      <c r="M1" s="475" t="s">
        <v>369</v>
      </c>
      <c r="N1" s="476"/>
    </row>
    <row r="2" spans="1:16" ht="15.75" customHeight="1">
      <c r="A2" s="65" t="s">
        <v>18</v>
      </c>
      <c r="B2" s="66" t="s">
        <v>210</v>
      </c>
      <c r="C2" s="66" t="s">
        <v>231</v>
      </c>
      <c r="D2" s="66" t="s">
        <v>76</v>
      </c>
      <c r="E2" s="66" t="s">
        <v>76</v>
      </c>
      <c r="F2" s="66" t="s">
        <v>76</v>
      </c>
      <c r="G2" s="65" t="s">
        <v>335</v>
      </c>
      <c r="H2" s="66" t="s">
        <v>336</v>
      </c>
      <c r="I2" s="101" t="s">
        <v>318</v>
      </c>
      <c r="J2" s="101" t="s">
        <v>318</v>
      </c>
      <c r="K2" s="101" t="s">
        <v>303</v>
      </c>
      <c r="L2" s="101" t="s">
        <v>317</v>
      </c>
      <c r="M2" s="128" t="s">
        <v>3</v>
      </c>
      <c r="N2" s="160">
        <v>7</v>
      </c>
      <c r="O2" s="26"/>
      <c r="P2" s="159"/>
    </row>
    <row r="3" spans="1:16">
      <c r="A3" s="37">
        <v>1</v>
      </c>
      <c r="B3" s="58" t="s">
        <v>218</v>
      </c>
      <c r="C3" s="59">
        <v>0</v>
      </c>
      <c r="D3" s="59">
        <v>2</v>
      </c>
      <c r="E3" s="59">
        <v>0</v>
      </c>
      <c r="F3" s="59">
        <v>2</v>
      </c>
      <c r="G3" s="98">
        <v>1</v>
      </c>
      <c r="H3" s="59">
        <v>0</v>
      </c>
      <c r="I3" s="103">
        <v>0</v>
      </c>
      <c r="J3" s="102"/>
      <c r="K3" s="102"/>
      <c r="L3" s="102"/>
      <c r="M3" s="126" t="s">
        <v>4</v>
      </c>
      <c r="N3" s="34">
        <v>16</v>
      </c>
      <c r="O3" s="26"/>
      <c r="P3" s="159"/>
    </row>
    <row r="4" spans="1:16">
      <c r="A4" s="37">
        <v>2</v>
      </c>
      <c r="B4" s="58" t="s">
        <v>215</v>
      </c>
      <c r="C4" s="59">
        <v>1</v>
      </c>
      <c r="D4" s="59">
        <v>3</v>
      </c>
      <c r="E4" s="59">
        <v>0</v>
      </c>
      <c r="F4" s="59">
        <v>3</v>
      </c>
      <c r="G4" s="98">
        <v>2</v>
      </c>
      <c r="H4" s="89">
        <v>1</v>
      </c>
      <c r="I4" s="103">
        <v>1300</v>
      </c>
      <c r="J4" s="103">
        <v>1300</v>
      </c>
      <c r="K4" s="103">
        <v>2000</v>
      </c>
      <c r="L4" s="103">
        <v>3000</v>
      </c>
      <c r="M4" s="126" t="s">
        <v>5</v>
      </c>
      <c r="N4" s="34">
        <v>14</v>
      </c>
      <c r="O4" s="26"/>
      <c r="P4" s="157"/>
    </row>
    <row r="5" spans="1:16">
      <c r="A5" s="37">
        <v>3</v>
      </c>
      <c r="B5" s="58" t="s">
        <v>216</v>
      </c>
      <c r="C5" s="59">
        <v>2</v>
      </c>
      <c r="D5" s="59">
        <v>3</v>
      </c>
      <c r="E5" s="59">
        <v>1</v>
      </c>
      <c r="F5" s="59">
        <v>3</v>
      </c>
      <c r="G5" s="98">
        <v>3</v>
      </c>
      <c r="H5" s="89">
        <v>2</v>
      </c>
      <c r="I5" s="103">
        <v>3300</v>
      </c>
      <c r="J5" s="103">
        <v>3300</v>
      </c>
      <c r="K5" s="103">
        <v>5000</v>
      </c>
      <c r="L5" s="103">
        <v>7500</v>
      </c>
      <c r="M5" s="126" t="s">
        <v>6</v>
      </c>
      <c r="N5" s="160">
        <v>10</v>
      </c>
      <c r="O5" s="26"/>
      <c r="P5" s="157"/>
    </row>
    <row r="6" spans="1:16">
      <c r="A6" s="37">
        <v>4</v>
      </c>
      <c r="B6" s="58" t="s">
        <v>217</v>
      </c>
      <c r="C6" s="59">
        <v>3</v>
      </c>
      <c r="D6" s="59">
        <v>4</v>
      </c>
      <c r="E6" s="59">
        <v>1</v>
      </c>
      <c r="F6" s="59">
        <v>4</v>
      </c>
      <c r="G6" s="98">
        <v>4</v>
      </c>
      <c r="H6" s="89">
        <v>3</v>
      </c>
      <c r="I6" s="103">
        <v>6000</v>
      </c>
      <c r="J6" s="103">
        <v>6000</v>
      </c>
      <c r="K6" s="103">
        <v>9000</v>
      </c>
      <c r="L6" s="103">
        <v>14000</v>
      </c>
      <c r="M6" s="126" t="s">
        <v>7</v>
      </c>
      <c r="N6" s="160">
        <v>16</v>
      </c>
      <c r="O6" s="26"/>
      <c r="P6" s="159"/>
    </row>
    <row r="7" spans="1:16">
      <c r="A7" s="37">
        <v>5</v>
      </c>
      <c r="B7" s="58" t="s">
        <v>217</v>
      </c>
      <c r="C7" s="59">
        <v>3</v>
      </c>
      <c r="D7" s="59">
        <v>4</v>
      </c>
      <c r="E7" s="59">
        <v>1</v>
      </c>
      <c r="F7" s="59">
        <v>4</v>
      </c>
      <c r="G7" s="98">
        <v>5</v>
      </c>
      <c r="H7" s="89">
        <v>4</v>
      </c>
      <c r="I7" s="103">
        <v>10000</v>
      </c>
      <c r="J7" s="103">
        <v>10000</v>
      </c>
      <c r="K7" s="103">
        <v>15000</v>
      </c>
      <c r="L7" s="103">
        <v>23000</v>
      </c>
      <c r="M7" s="127" t="s">
        <v>8</v>
      </c>
      <c r="N7" s="35">
        <v>12</v>
      </c>
      <c r="O7" s="26"/>
      <c r="P7" s="157"/>
    </row>
    <row r="8" spans="1:16">
      <c r="A8" s="37">
        <v>6</v>
      </c>
      <c r="B8" s="58" t="s">
        <v>219</v>
      </c>
      <c r="C8" s="59">
        <v>4</v>
      </c>
      <c r="D8" s="59">
        <v>5</v>
      </c>
      <c r="E8" s="59">
        <v>2</v>
      </c>
      <c r="F8" s="59">
        <v>5</v>
      </c>
      <c r="G8" s="98">
        <v>6</v>
      </c>
      <c r="H8" s="89">
        <v>5</v>
      </c>
      <c r="I8" s="103">
        <v>15000</v>
      </c>
      <c r="J8" s="103">
        <v>15000</v>
      </c>
      <c r="K8" s="103">
        <v>23000</v>
      </c>
      <c r="L8" s="103">
        <v>35000</v>
      </c>
      <c r="N8" s="26"/>
      <c r="O8" s="26"/>
      <c r="P8" s="26"/>
    </row>
    <row r="9" spans="1:16">
      <c r="A9" s="37">
        <v>7</v>
      </c>
      <c r="B9" s="58" t="s">
        <v>220</v>
      </c>
      <c r="C9" s="59">
        <v>5</v>
      </c>
      <c r="D9" s="59">
        <v>5</v>
      </c>
      <c r="E9" s="59">
        <v>2</v>
      </c>
      <c r="F9" s="59">
        <v>5</v>
      </c>
      <c r="G9" s="98">
        <v>7</v>
      </c>
      <c r="H9" s="89">
        <v>6</v>
      </c>
      <c r="I9" s="103">
        <v>23000</v>
      </c>
      <c r="J9" s="103">
        <v>23000</v>
      </c>
      <c r="K9" s="103">
        <v>35000</v>
      </c>
      <c r="L9" s="103">
        <v>53000</v>
      </c>
      <c r="N9" s="26"/>
      <c r="O9" s="26"/>
      <c r="P9" s="26"/>
    </row>
    <row r="10" spans="1:16">
      <c r="A10" s="37">
        <v>8</v>
      </c>
      <c r="B10" s="58" t="s">
        <v>221</v>
      </c>
      <c r="C10" s="59">
        <v>6</v>
      </c>
      <c r="D10" s="59">
        <v>6</v>
      </c>
      <c r="E10" s="59">
        <v>2</v>
      </c>
      <c r="F10" s="59">
        <v>6</v>
      </c>
      <c r="G10" s="98">
        <v>8</v>
      </c>
      <c r="H10" s="89">
        <v>7</v>
      </c>
      <c r="I10" s="103">
        <v>34000</v>
      </c>
      <c r="J10" s="103">
        <v>34000</v>
      </c>
      <c r="K10" s="103">
        <v>51000</v>
      </c>
      <c r="L10" s="103">
        <v>77000</v>
      </c>
      <c r="N10" s="26"/>
      <c r="O10" s="26"/>
      <c r="P10" s="159"/>
    </row>
    <row r="11" spans="1:16">
      <c r="A11" s="37">
        <v>9</v>
      </c>
      <c r="B11" s="58" t="s">
        <v>221</v>
      </c>
      <c r="C11" s="59">
        <v>6</v>
      </c>
      <c r="D11" s="59">
        <v>6</v>
      </c>
      <c r="E11" s="59">
        <v>3</v>
      </c>
      <c r="F11" s="59">
        <v>6</v>
      </c>
      <c r="G11" s="98">
        <v>9</v>
      </c>
      <c r="H11" s="89">
        <v>8</v>
      </c>
      <c r="I11" s="103">
        <v>50000</v>
      </c>
      <c r="J11" s="103">
        <v>50000</v>
      </c>
      <c r="K11" s="103">
        <v>75000</v>
      </c>
      <c r="L11" s="103">
        <v>115000</v>
      </c>
      <c r="N11" s="26"/>
      <c r="O11" s="26"/>
      <c r="P11" s="159"/>
    </row>
    <row r="12" spans="1:16">
      <c r="A12" s="37">
        <v>10</v>
      </c>
      <c r="B12" s="58" t="s">
        <v>222</v>
      </c>
      <c r="C12" s="59">
        <v>7</v>
      </c>
      <c r="D12" s="59">
        <v>7</v>
      </c>
      <c r="E12" s="59">
        <v>3</v>
      </c>
      <c r="F12" s="59">
        <v>7</v>
      </c>
      <c r="G12" s="98">
        <v>10</v>
      </c>
      <c r="H12" s="89">
        <v>9</v>
      </c>
      <c r="I12" s="103">
        <v>71000</v>
      </c>
      <c r="J12" s="103">
        <v>71000</v>
      </c>
      <c r="K12" s="103">
        <v>105000</v>
      </c>
      <c r="L12" s="103">
        <v>160000</v>
      </c>
      <c r="N12" s="26"/>
      <c r="O12" s="26"/>
      <c r="P12" s="157"/>
    </row>
    <row r="13" spans="1:16">
      <c r="A13" s="37">
        <v>11</v>
      </c>
      <c r="B13" s="58" t="s">
        <v>223</v>
      </c>
      <c r="C13" s="59">
        <v>8</v>
      </c>
      <c r="D13" s="59">
        <v>7</v>
      </c>
      <c r="E13" s="59">
        <v>3</v>
      </c>
      <c r="F13" s="59">
        <v>7</v>
      </c>
      <c r="G13" s="98">
        <v>11</v>
      </c>
      <c r="H13" s="89">
        <v>10</v>
      </c>
      <c r="I13" s="103">
        <v>105000</v>
      </c>
      <c r="J13" s="103">
        <v>105000</v>
      </c>
      <c r="K13" s="103">
        <v>155000</v>
      </c>
      <c r="L13" s="103">
        <v>235000</v>
      </c>
      <c r="N13" s="26"/>
      <c r="O13" s="26"/>
      <c r="P13" s="157"/>
    </row>
    <row r="14" spans="1:16">
      <c r="A14" s="37">
        <v>12</v>
      </c>
      <c r="B14" s="58" t="s">
        <v>224</v>
      </c>
      <c r="C14" s="59">
        <v>9</v>
      </c>
      <c r="D14" s="59">
        <v>8</v>
      </c>
      <c r="E14" s="59">
        <v>4</v>
      </c>
      <c r="F14" s="59">
        <v>8</v>
      </c>
      <c r="G14" s="98">
        <v>12</v>
      </c>
      <c r="H14" s="89">
        <v>11</v>
      </c>
      <c r="I14" s="103">
        <v>145000</v>
      </c>
      <c r="J14" s="103">
        <v>145000</v>
      </c>
      <c r="K14" s="103">
        <v>220000</v>
      </c>
      <c r="L14" s="103">
        <v>330000</v>
      </c>
      <c r="N14" s="26"/>
      <c r="O14" s="26"/>
      <c r="P14" s="159"/>
    </row>
    <row r="15" spans="1:16">
      <c r="A15" s="37">
        <v>13</v>
      </c>
      <c r="B15" s="58" t="s">
        <v>224</v>
      </c>
      <c r="C15" s="59">
        <v>9</v>
      </c>
      <c r="D15" s="59">
        <v>8</v>
      </c>
      <c r="E15" s="59">
        <v>4</v>
      </c>
      <c r="F15" s="59">
        <v>8</v>
      </c>
      <c r="G15" s="98">
        <v>13</v>
      </c>
      <c r="H15" s="89">
        <v>12</v>
      </c>
      <c r="I15" s="103">
        <v>210000</v>
      </c>
      <c r="J15" s="103">
        <v>210000</v>
      </c>
      <c r="K15" s="103">
        <v>315000</v>
      </c>
      <c r="L15" s="103">
        <v>475000</v>
      </c>
      <c r="N15" s="26"/>
      <c r="O15" s="26"/>
      <c r="P15" s="157"/>
    </row>
    <row r="16" spans="1:16">
      <c r="A16" s="37">
        <v>14</v>
      </c>
      <c r="B16" s="58" t="s">
        <v>225</v>
      </c>
      <c r="C16" s="59">
        <v>10</v>
      </c>
      <c r="D16" s="59">
        <v>9</v>
      </c>
      <c r="E16" s="59">
        <v>4</v>
      </c>
      <c r="F16" s="59">
        <v>9</v>
      </c>
      <c r="G16" s="98">
        <v>14</v>
      </c>
      <c r="H16" s="89">
        <v>13</v>
      </c>
      <c r="I16" s="103">
        <v>295000</v>
      </c>
      <c r="J16" s="103">
        <v>295000</v>
      </c>
      <c r="K16" s="103">
        <v>445000</v>
      </c>
      <c r="L16" s="103">
        <v>665000</v>
      </c>
    </row>
    <row r="17" spans="1:12">
      <c r="A17" s="37">
        <v>15</v>
      </c>
      <c r="B17" s="58" t="s">
        <v>226</v>
      </c>
      <c r="C17" s="59">
        <v>11</v>
      </c>
      <c r="D17" s="59">
        <v>9</v>
      </c>
      <c r="E17" s="59">
        <v>5</v>
      </c>
      <c r="F17" s="59">
        <v>9</v>
      </c>
      <c r="G17" s="98">
        <v>15</v>
      </c>
      <c r="H17" s="89">
        <v>14</v>
      </c>
      <c r="I17" s="103">
        <v>425000</v>
      </c>
      <c r="J17" s="103">
        <v>425000</v>
      </c>
      <c r="K17" s="103">
        <v>635000</v>
      </c>
      <c r="L17" s="103">
        <v>955000</v>
      </c>
    </row>
    <row r="18" spans="1:12">
      <c r="A18" s="37">
        <v>16</v>
      </c>
      <c r="B18" s="58" t="s">
        <v>227</v>
      </c>
      <c r="C18" s="59">
        <v>12</v>
      </c>
      <c r="D18" s="59">
        <v>10</v>
      </c>
      <c r="E18" s="59">
        <v>5</v>
      </c>
      <c r="F18" s="59">
        <v>10</v>
      </c>
      <c r="G18" s="98">
        <v>16</v>
      </c>
      <c r="H18" s="89">
        <v>15</v>
      </c>
      <c r="I18" s="103">
        <v>600000</v>
      </c>
      <c r="J18" s="103">
        <v>600000</v>
      </c>
      <c r="K18" s="103">
        <v>890000</v>
      </c>
      <c r="L18" s="103">
        <v>1350000</v>
      </c>
    </row>
    <row r="19" spans="1:12">
      <c r="A19" s="37">
        <v>17</v>
      </c>
      <c r="B19" s="58" t="s">
        <v>227</v>
      </c>
      <c r="C19" s="59">
        <v>12</v>
      </c>
      <c r="D19" s="59">
        <v>10</v>
      </c>
      <c r="E19" s="59">
        <v>5</v>
      </c>
      <c r="F19" s="59">
        <v>10</v>
      </c>
      <c r="G19" s="98">
        <v>17</v>
      </c>
      <c r="H19" s="89">
        <v>16</v>
      </c>
      <c r="I19" s="103">
        <v>850000</v>
      </c>
      <c r="J19" s="103">
        <v>850000</v>
      </c>
      <c r="K19" s="103">
        <v>1300000</v>
      </c>
      <c r="L19" s="103">
        <v>1900000</v>
      </c>
    </row>
    <row r="20" spans="1:12">
      <c r="A20" s="37">
        <v>18</v>
      </c>
      <c r="B20" s="58" t="s">
        <v>228</v>
      </c>
      <c r="C20" s="59">
        <v>13</v>
      </c>
      <c r="D20" s="59">
        <v>11</v>
      </c>
      <c r="E20" s="59">
        <v>6</v>
      </c>
      <c r="F20" s="59">
        <v>11</v>
      </c>
      <c r="G20" s="98">
        <v>18</v>
      </c>
      <c r="H20" s="89">
        <v>17</v>
      </c>
      <c r="I20" s="103">
        <v>1200000</v>
      </c>
      <c r="J20" s="103">
        <v>1200000</v>
      </c>
      <c r="K20" s="103">
        <v>1800000</v>
      </c>
      <c r="L20" s="103">
        <v>2700000</v>
      </c>
    </row>
    <row r="21" spans="1:12">
      <c r="A21" s="37">
        <v>19</v>
      </c>
      <c r="B21" s="58" t="s">
        <v>229</v>
      </c>
      <c r="C21" s="59">
        <v>14</v>
      </c>
      <c r="D21" s="59">
        <v>11</v>
      </c>
      <c r="E21" s="59">
        <v>6</v>
      </c>
      <c r="F21" s="59">
        <v>11</v>
      </c>
      <c r="G21" s="98">
        <v>19</v>
      </c>
      <c r="H21" s="89">
        <v>18</v>
      </c>
      <c r="I21" s="103">
        <v>1700000</v>
      </c>
      <c r="J21" s="103">
        <v>1700000</v>
      </c>
      <c r="K21" s="103">
        <v>2550000</v>
      </c>
      <c r="L21" s="103">
        <v>3850000</v>
      </c>
    </row>
    <row r="22" spans="1:12">
      <c r="A22" s="38">
        <v>20</v>
      </c>
      <c r="B22" s="60" t="s">
        <v>230</v>
      </c>
      <c r="C22" s="61">
        <v>15</v>
      </c>
      <c r="D22" s="61">
        <v>12</v>
      </c>
      <c r="E22" s="61">
        <v>6</v>
      </c>
      <c r="F22" s="61">
        <v>12</v>
      </c>
      <c r="G22" s="99">
        <v>20</v>
      </c>
      <c r="H22" s="100">
        <v>19</v>
      </c>
      <c r="I22" s="104">
        <v>2400000</v>
      </c>
      <c r="J22" s="104">
        <v>2400000</v>
      </c>
      <c r="K22" s="104">
        <v>3600000</v>
      </c>
      <c r="L22" s="104">
        <v>5350000</v>
      </c>
    </row>
    <row r="23" spans="1:12">
      <c r="G23" s="26"/>
      <c r="H23" s="89"/>
      <c r="I23" s="59"/>
      <c r="J23" s="59"/>
      <c r="K23" s="59"/>
      <c r="L23" s="59"/>
    </row>
  </sheetData>
  <mergeCells count="3">
    <mergeCell ref="G1:H1"/>
    <mergeCell ref="J1:L1"/>
    <mergeCell ref="M1:N1"/>
  </mergeCells>
  <pageMargins left="0.7" right="0.7" top="0.75" bottom="0.75" header="0.3" footer="0.3"/>
  <pageSetup paperSize="9" orientation="portrait" r:id="rId1"/>
  <ignoredErrors>
    <ignoredError sqref="B3:B9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43"/>
  <sheetViews>
    <sheetView workbookViewId="0">
      <selection activeCell="B35" sqref="B35"/>
    </sheetView>
  </sheetViews>
  <sheetFormatPr defaultRowHeight="15"/>
  <cols>
    <col min="1" max="1" width="7.7109375" customWidth="1"/>
    <col min="2" max="2" width="15.5703125" customWidth="1"/>
    <col min="3" max="3" width="12.85546875" bestFit="1" customWidth="1"/>
    <col min="4" max="4" width="6.7109375" bestFit="1" customWidth="1"/>
    <col min="5" max="5" width="9.85546875" bestFit="1" customWidth="1"/>
    <col min="6" max="6" width="12.85546875" bestFit="1" customWidth="1"/>
    <col min="7" max="7" width="8.7109375" bestFit="1" customWidth="1"/>
    <col min="8" max="8" width="5" bestFit="1" customWidth="1"/>
    <col min="9" max="9" width="3.28515625" bestFit="1" customWidth="1"/>
    <col min="10" max="10" width="14.7109375" bestFit="1" customWidth="1"/>
    <col min="12" max="12" width="6" style="57" customWidth="1"/>
    <col min="13" max="13" width="6.5703125" style="57" customWidth="1"/>
    <col min="14" max="14" width="9.42578125" style="85" customWidth="1"/>
    <col min="15" max="15" width="10.28515625" style="57" customWidth="1"/>
    <col min="16" max="16" width="13.140625" style="57" customWidth="1"/>
    <col min="17" max="17" width="12.140625" style="57" customWidth="1"/>
    <col min="18" max="18" width="11" style="57" customWidth="1"/>
    <col min="19" max="19" width="11.28515625" style="57" customWidth="1"/>
  </cols>
  <sheetData>
    <row r="1" spans="1:21" ht="15" customHeight="1">
      <c r="A1" s="22" t="s">
        <v>33</v>
      </c>
      <c r="B1" s="25" t="s">
        <v>44</v>
      </c>
      <c r="C1" s="19" t="s">
        <v>34</v>
      </c>
      <c r="D1" s="22" t="s">
        <v>97</v>
      </c>
      <c r="E1" s="19" t="s">
        <v>84</v>
      </c>
      <c r="F1" s="22" t="s">
        <v>103</v>
      </c>
      <c r="G1" s="25" t="s">
        <v>104</v>
      </c>
      <c r="H1" s="25" t="s">
        <v>105</v>
      </c>
      <c r="I1" s="32" t="s">
        <v>107</v>
      </c>
      <c r="J1" s="33" t="s">
        <v>112</v>
      </c>
      <c r="K1" s="91" t="s">
        <v>327</v>
      </c>
      <c r="L1" s="92"/>
      <c r="M1" s="483" t="s">
        <v>319</v>
      </c>
      <c r="N1" s="479" t="s">
        <v>321</v>
      </c>
      <c r="O1" s="479" t="s">
        <v>324</v>
      </c>
      <c r="P1" s="479" t="s">
        <v>325</v>
      </c>
      <c r="Q1" s="479" t="s">
        <v>326</v>
      </c>
      <c r="R1" s="479" t="s">
        <v>322</v>
      </c>
      <c r="S1" s="477" t="s">
        <v>323</v>
      </c>
    </row>
    <row r="2" spans="1:21">
      <c r="A2" s="23" t="s">
        <v>45</v>
      </c>
      <c r="B2" s="26" t="s">
        <v>35</v>
      </c>
      <c r="C2" s="20">
        <v>-8</v>
      </c>
      <c r="D2" s="29" t="s">
        <v>98</v>
      </c>
      <c r="E2" s="30" t="s">
        <v>85</v>
      </c>
      <c r="F2" s="23" t="str">
        <f>Sheet!B11</f>
        <v>STR</v>
      </c>
      <c r="G2" s="26">
        <f>Sheet!C11</f>
        <v>7</v>
      </c>
      <c r="H2" s="26">
        <f>Sheet!D11</f>
        <v>-2</v>
      </c>
      <c r="I2" s="20">
        <f>ROUNDDOWN(H2*1.5,0)</f>
        <v>-3</v>
      </c>
      <c r="J2" s="37"/>
      <c r="K2" s="23" t="s">
        <v>45</v>
      </c>
      <c r="L2" s="59">
        <v>16</v>
      </c>
      <c r="M2" s="484"/>
      <c r="N2" s="480"/>
      <c r="O2" s="480"/>
      <c r="P2" s="480"/>
      <c r="Q2" s="480"/>
      <c r="R2" s="480"/>
      <c r="S2" s="478"/>
    </row>
    <row r="3" spans="1:21">
      <c r="A3" s="23" t="s">
        <v>46</v>
      </c>
      <c r="B3" s="26" t="s">
        <v>36</v>
      </c>
      <c r="C3" s="20">
        <v>-4</v>
      </c>
      <c r="D3" s="67" t="s">
        <v>250</v>
      </c>
      <c r="E3" s="67" t="s">
        <v>250</v>
      </c>
      <c r="F3" s="23" t="str">
        <f>Sheet!B15</f>
        <v>DEX</v>
      </c>
      <c r="G3" s="26">
        <f>Sheet!C15</f>
        <v>16</v>
      </c>
      <c r="H3" s="26">
        <f>Sheet!D15</f>
        <v>3</v>
      </c>
      <c r="I3" s="20">
        <f t="shared" ref="I3:I7" si="0">ROUNDDOWN(H3*1.5,0)</f>
        <v>4</v>
      </c>
      <c r="J3" s="37" t="s">
        <v>111</v>
      </c>
      <c r="K3" s="23" t="s">
        <v>46</v>
      </c>
      <c r="L3" s="59">
        <v>8</v>
      </c>
      <c r="M3" s="37">
        <v>1</v>
      </c>
      <c r="N3" s="59">
        <v>3</v>
      </c>
      <c r="O3" s="94">
        <f>ROUND(N3*(VLOOKUP(Sheet!$I$5,Fibonacci89!$K$2:$L$10,2,FALSE)),0)</f>
        <v>3</v>
      </c>
      <c r="P3" s="59">
        <v>6</v>
      </c>
      <c r="Q3" s="94">
        <f>ROUND(P3*(VLOOKUP(Sheet!$I$5,Fibonacci89!$K$2:$L$10,2,FALSE)),0)</f>
        <v>6</v>
      </c>
      <c r="R3" s="59">
        <v>10</v>
      </c>
      <c r="S3" s="96">
        <f>ROUND(R3*(VLOOKUP(Sheet!$I$5,Fibonacci89!$K$2:$L$10,2,FALSE)),0)</f>
        <v>10</v>
      </c>
      <c r="U3" s="57"/>
    </row>
    <row r="4" spans="1:21">
      <c r="A4" s="23" t="s">
        <v>47</v>
      </c>
      <c r="B4" s="26" t="s">
        <v>37</v>
      </c>
      <c r="C4" s="20">
        <v>-2</v>
      </c>
      <c r="D4" s="23">
        <v>20</v>
      </c>
      <c r="E4" s="20" t="s">
        <v>92</v>
      </c>
      <c r="F4" s="23" t="str">
        <f>Sheet!B19</f>
        <v>CON</v>
      </c>
      <c r="G4" s="26">
        <f>Sheet!C19</f>
        <v>14</v>
      </c>
      <c r="H4" s="26">
        <f>Sheet!D19</f>
        <v>2</v>
      </c>
      <c r="I4" s="20">
        <f t="shared" si="0"/>
        <v>3</v>
      </c>
      <c r="J4" s="37" t="s">
        <v>113</v>
      </c>
      <c r="K4" s="23" t="s">
        <v>47</v>
      </c>
      <c r="L4" s="59">
        <v>4</v>
      </c>
      <c r="M4" s="37">
        <v>2</v>
      </c>
      <c r="N4" s="59">
        <v>6</v>
      </c>
      <c r="O4" s="94">
        <f>ROUND(N4*(VLOOKUP(Sheet!$I$5,Fibonacci89!$K$2:$L$10,2,FALSE)),0)</f>
        <v>6</v>
      </c>
      <c r="P4" s="59">
        <v>13</v>
      </c>
      <c r="Q4" s="94">
        <f>ROUND(P4*(VLOOKUP(Sheet!$I$5,Fibonacci89!$K$2:$L$10,2,FALSE)),0)</f>
        <v>13</v>
      </c>
      <c r="R4" s="59">
        <v>20</v>
      </c>
      <c r="S4" s="96">
        <f>ROUND(R4*(VLOOKUP(Sheet!$I$5,Fibonacci89!$K$2:$L$10,2,FALSE)),0)</f>
        <v>20</v>
      </c>
      <c r="U4" s="57"/>
    </row>
    <row r="5" spans="1:21">
      <c r="A5" s="23" t="s">
        <v>48</v>
      </c>
      <c r="B5" s="26" t="s">
        <v>38</v>
      </c>
      <c r="C5" s="20">
        <v>-1</v>
      </c>
      <c r="D5" s="23" t="s">
        <v>99</v>
      </c>
      <c r="E5" s="20" t="s">
        <v>93</v>
      </c>
      <c r="F5" s="23" t="str">
        <f>Sheet!B23</f>
        <v>INT</v>
      </c>
      <c r="G5" s="26">
        <f>Sheet!C23</f>
        <v>10</v>
      </c>
      <c r="H5" s="26">
        <f>Sheet!D23</f>
        <v>0</v>
      </c>
      <c r="I5" s="20">
        <f t="shared" si="0"/>
        <v>0</v>
      </c>
      <c r="J5" s="37" t="s">
        <v>50</v>
      </c>
      <c r="K5" s="23" t="s">
        <v>48</v>
      </c>
      <c r="L5" s="59">
        <v>2</v>
      </c>
      <c r="M5" s="37">
        <v>3</v>
      </c>
      <c r="N5" s="59">
        <v>10</v>
      </c>
      <c r="O5" s="94">
        <f>ROUND(N5*(VLOOKUP(Sheet!$I$5,Fibonacci89!$K$2:$L$10,2,FALSE)),0)</f>
        <v>10</v>
      </c>
      <c r="P5" s="59">
        <v>20</v>
      </c>
      <c r="Q5" s="94">
        <f>ROUND(P5*(VLOOKUP(Sheet!$I$5,Fibonacci89!$K$2:$L$10,2,FALSE)),0)</f>
        <v>20</v>
      </c>
      <c r="R5" s="59">
        <v>30</v>
      </c>
      <c r="S5" s="96">
        <f>ROUND(R5*(VLOOKUP(Sheet!$I$5,Fibonacci89!$K$2:$L$10,2,FALSE)),0)</f>
        <v>30</v>
      </c>
      <c r="U5" s="57"/>
    </row>
    <row r="6" spans="1:21">
      <c r="A6" s="23" t="s">
        <v>49</v>
      </c>
      <c r="B6" s="26" t="s">
        <v>39</v>
      </c>
      <c r="C6" s="20">
        <v>0</v>
      </c>
      <c r="D6" s="23" t="s">
        <v>100</v>
      </c>
      <c r="E6" s="20" t="s">
        <v>94</v>
      </c>
      <c r="F6" s="23" t="str">
        <f>Sheet!B27</f>
        <v>WIS</v>
      </c>
      <c r="G6" s="26">
        <f>Sheet!C27</f>
        <v>16</v>
      </c>
      <c r="H6" s="26">
        <f>Sheet!D27</f>
        <v>3</v>
      </c>
      <c r="I6" s="20">
        <f t="shared" si="0"/>
        <v>4</v>
      </c>
      <c r="J6" s="37" t="s">
        <v>115</v>
      </c>
      <c r="K6" s="23" t="s">
        <v>49</v>
      </c>
      <c r="L6" s="59">
        <v>1</v>
      </c>
      <c r="M6" s="37">
        <v>4</v>
      </c>
      <c r="N6" s="59">
        <v>13</v>
      </c>
      <c r="O6" s="94">
        <f>ROUND(N6*(VLOOKUP(Sheet!$I$5,Fibonacci89!$K$2:$L$10,2,FALSE)),0)</f>
        <v>13</v>
      </c>
      <c r="P6" s="59">
        <v>26</v>
      </c>
      <c r="Q6" s="94">
        <f>ROUND(P6*(VLOOKUP(Sheet!$I$5,Fibonacci89!$K$2:$L$10,2,FALSE)),0)</f>
        <v>26</v>
      </c>
      <c r="R6" s="59">
        <v>40</v>
      </c>
      <c r="S6" s="96">
        <f>ROUND(R6*(VLOOKUP(Sheet!$I$5,Fibonacci89!$K$2:$L$10,2,FALSE)),0)</f>
        <v>40</v>
      </c>
      <c r="U6" s="57"/>
    </row>
    <row r="7" spans="1:21">
      <c r="A7" s="23" t="s">
        <v>50</v>
      </c>
      <c r="B7" s="26" t="s">
        <v>40</v>
      </c>
      <c r="C7" s="20">
        <v>1</v>
      </c>
      <c r="D7" s="23" t="s">
        <v>101</v>
      </c>
      <c r="E7" s="20" t="s">
        <v>95</v>
      </c>
      <c r="F7" s="23" t="str">
        <f>Sheet!B31</f>
        <v>CHA</v>
      </c>
      <c r="G7" s="26">
        <f>Sheet!C31</f>
        <v>12</v>
      </c>
      <c r="H7" s="26">
        <f>Sheet!D31</f>
        <v>1</v>
      </c>
      <c r="I7" s="20">
        <f t="shared" si="0"/>
        <v>1</v>
      </c>
      <c r="J7" s="37" t="s">
        <v>116</v>
      </c>
      <c r="K7" s="23" t="s">
        <v>50</v>
      </c>
      <c r="L7" s="59">
        <v>0.75</v>
      </c>
      <c r="M7" s="36">
        <v>5</v>
      </c>
      <c r="N7" s="59">
        <v>16</v>
      </c>
      <c r="O7" s="94">
        <f>ROUND(N7*(VLOOKUP(Sheet!$I$5,Fibonacci89!$K$2:$L$10,2,FALSE)),0)</f>
        <v>16</v>
      </c>
      <c r="P7" s="59">
        <v>33</v>
      </c>
      <c r="Q7" s="94">
        <f>ROUND(P7*(VLOOKUP(Sheet!$I$5,Fibonacci89!$K$2:$L$10,2,FALSE)),0)</f>
        <v>33</v>
      </c>
      <c r="R7" s="59">
        <v>50</v>
      </c>
      <c r="S7" s="96">
        <f>ROUND(R7*(VLOOKUP(Sheet!$I$5,Fibonacci89!$K$2:$L$10,2,FALSE)),0)</f>
        <v>50</v>
      </c>
      <c r="U7" s="57"/>
    </row>
    <row r="8" spans="1:21">
      <c r="A8" s="23" t="s">
        <v>51</v>
      </c>
      <c r="B8" s="26" t="s">
        <v>41</v>
      </c>
      <c r="C8" s="20">
        <v>2</v>
      </c>
      <c r="D8" s="23" t="s">
        <v>102</v>
      </c>
      <c r="E8" s="20"/>
      <c r="F8" s="67" t="s">
        <v>250</v>
      </c>
      <c r="G8" s="26"/>
      <c r="H8" s="26">
        <v>0</v>
      </c>
      <c r="I8" s="21">
        <v>0</v>
      </c>
      <c r="J8" s="37" t="s">
        <v>114</v>
      </c>
      <c r="K8" s="23" t="s">
        <v>51</v>
      </c>
      <c r="L8" s="59">
        <v>0.5</v>
      </c>
      <c r="M8" s="37">
        <v>6</v>
      </c>
      <c r="N8" s="59">
        <v>20</v>
      </c>
      <c r="O8" s="94">
        <f>ROUND(N8*(VLOOKUP(Sheet!$I$5,Fibonacci89!$K$2:$L$10,2,FALSE)),0)</f>
        <v>20</v>
      </c>
      <c r="P8" s="59">
        <v>40</v>
      </c>
      <c r="Q8" s="94">
        <f>ROUND(P8*(VLOOKUP(Sheet!$I$5,Fibonacci89!$K$2:$L$10,2,FALSE)),0)</f>
        <v>40</v>
      </c>
      <c r="R8" s="59">
        <v>60</v>
      </c>
      <c r="S8" s="96">
        <f>ROUND(R8*(VLOOKUP(Sheet!$I$5,Fibonacci89!$K$2:$L$10,2,FALSE)),0)</f>
        <v>60</v>
      </c>
      <c r="U8" s="57"/>
    </row>
    <row r="9" spans="1:21" ht="16.5">
      <c r="A9" s="23" t="s">
        <v>52</v>
      </c>
      <c r="B9" s="26" t="s">
        <v>42</v>
      </c>
      <c r="C9" s="26">
        <v>4</v>
      </c>
      <c r="D9" s="22" t="s">
        <v>179</v>
      </c>
      <c r="E9" s="42"/>
      <c r="F9" s="41" t="s">
        <v>110</v>
      </c>
      <c r="G9" s="39"/>
      <c r="H9" s="31"/>
      <c r="J9" s="93" t="s">
        <v>298</v>
      </c>
      <c r="K9" s="23" t="s">
        <v>52</v>
      </c>
      <c r="L9" s="59">
        <v>0.25</v>
      </c>
      <c r="M9" s="37">
        <v>7</v>
      </c>
      <c r="N9" s="59">
        <v>23</v>
      </c>
      <c r="O9" s="94">
        <f>ROUND(N9*(VLOOKUP(Sheet!$I$5,Fibonacci89!$K$2:$L$10,2,FALSE)),0)</f>
        <v>23</v>
      </c>
      <c r="P9" s="59">
        <v>46</v>
      </c>
      <c r="Q9" s="94">
        <f>ROUND(P9*(VLOOKUP(Sheet!$I$5,Fibonacci89!$K$2:$L$10,2,FALSE)),0)</f>
        <v>46</v>
      </c>
      <c r="R9" s="59">
        <v>70</v>
      </c>
      <c r="S9" s="96">
        <f>ROUND(R9*(VLOOKUP(Sheet!$I$5,Fibonacci89!$K$2:$L$10,2,FALSE)),0)</f>
        <v>70</v>
      </c>
      <c r="U9" s="57"/>
    </row>
    <row r="10" spans="1:21" ht="16.5">
      <c r="A10" s="23" t="s">
        <v>53</v>
      </c>
      <c r="B10" s="26" t="s">
        <v>43</v>
      </c>
      <c r="C10" s="26">
        <v>8</v>
      </c>
      <c r="D10" s="24"/>
      <c r="E10" s="43" t="s">
        <v>178</v>
      </c>
      <c r="F10" s="26" t="s">
        <v>108</v>
      </c>
      <c r="G10" s="26" t="s">
        <v>109</v>
      </c>
      <c r="H10" s="78" t="s">
        <v>250</v>
      </c>
      <c r="J10" s="37">
        <f>IF(Sheet!F117="shield",Sheet!G119,0)</f>
        <v>0</v>
      </c>
      <c r="K10" s="24" t="s">
        <v>53</v>
      </c>
      <c r="L10" s="61">
        <v>0.125</v>
      </c>
      <c r="M10" s="37">
        <v>8</v>
      </c>
      <c r="N10" s="59">
        <v>26</v>
      </c>
      <c r="O10" s="94">
        <f>ROUND(N10*(VLOOKUP(Sheet!$I$5,Fibonacci89!$K$2:$L$10,2,FALSE)),0)</f>
        <v>26</v>
      </c>
      <c r="P10" s="59">
        <v>53</v>
      </c>
      <c r="Q10" s="94">
        <f>ROUND(P10*(VLOOKUP(Sheet!$I$5,Fibonacci89!$K$2:$L$10,2,FALSE)),0)</f>
        <v>53</v>
      </c>
      <c r="R10" s="59">
        <v>80</v>
      </c>
      <c r="S10" s="96">
        <f>ROUND(R10*(VLOOKUP(Sheet!$I$5,Fibonacci89!$K$2:$L$10,2,FALSE)),0)</f>
        <v>80</v>
      </c>
      <c r="U10" s="57"/>
    </row>
    <row r="11" spans="1:21">
      <c r="A11" s="156" t="s">
        <v>250</v>
      </c>
      <c r="B11" s="28"/>
      <c r="C11" s="21"/>
      <c r="F11" s="24">
        <f>H2*1.5</f>
        <v>-3</v>
      </c>
      <c r="G11" s="28">
        <f>H2</f>
        <v>-2</v>
      </c>
      <c r="H11" s="21">
        <v>0</v>
      </c>
      <c r="J11" s="75">
        <f>IF(Sheet!F118="shield",Sheet!G120,0)</f>
        <v>0</v>
      </c>
      <c r="M11" s="37">
        <v>9</v>
      </c>
      <c r="N11" s="59">
        <v>30</v>
      </c>
      <c r="O11" s="94">
        <f>ROUND(N11*(VLOOKUP(Sheet!$I$5,Fibonacci89!$K$2:$L$10,2,FALSE)),0)</f>
        <v>30</v>
      </c>
      <c r="P11" s="59">
        <v>60</v>
      </c>
      <c r="Q11" s="94">
        <f>ROUND(P11*(VLOOKUP(Sheet!$I$5,Fibonacci89!$K$2:$L$10,2,FALSE)),0)</f>
        <v>60</v>
      </c>
      <c r="R11" s="59">
        <v>90</v>
      </c>
      <c r="S11" s="96">
        <f>ROUND(R11*(VLOOKUP(Sheet!$I$5,Fibonacci89!$K$2:$L$10,2,FALSE)),0)</f>
        <v>90</v>
      </c>
      <c r="U11" s="57"/>
    </row>
    <row r="12" spans="1:21">
      <c r="J12" s="75">
        <f>IF(Sheet!F119="shield",Sheet!G121,0)</f>
        <v>0</v>
      </c>
      <c r="M12" s="37">
        <v>10</v>
      </c>
      <c r="N12" s="59">
        <v>33</v>
      </c>
      <c r="O12" s="94">
        <f>ROUND(N12*(VLOOKUP(Sheet!$I$5,Fibonacci89!$K$2:$L$10,2,FALSE)),0)</f>
        <v>33</v>
      </c>
      <c r="P12" s="59">
        <v>66</v>
      </c>
      <c r="Q12" s="94">
        <f>ROUND(P12*(VLOOKUP(Sheet!$I$5,Fibonacci89!$K$2:$L$10,2,FALSE)),0)</f>
        <v>66</v>
      </c>
      <c r="R12" s="59">
        <v>100</v>
      </c>
      <c r="S12" s="96">
        <f>ROUND(R12*(VLOOKUP(Sheet!$I$5,Fibonacci89!$K$2:$L$10,2,FALSE)),0)</f>
        <v>100</v>
      </c>
      <c r="U12" s="57"/>
    </row>
    <row r="13" spans="1:21">
      <c r="A13" s="22" t="s">
        <v>117</v>
      </c>
      <c r="B13" s="19" t="s">
        <v>1</v>
      </c>
      <c r="C13" s="25" t="s">
        <v>136</v>
      </c>
      <c r="D13" s="481" t="s">
        <v>147</v>
      </c>
      <c r="E13" s="482"/>
      <c r="F13" s="49" t="s">
        <v>348</v>
      </c>
      <c r="G13" s="50"/>
      <c r="J13" s="75">
        <f>IF(Sheet!F120="shield",Sheet!G122,0)</f>
        <v>0</v>
      </c>
      <c r="M13" s="37">
        <v>11</v>
      </c>
      <c r="N13" s="59">
        <v>38</v>
      </c>
      <c r="O13" s="94">
        <f>ROUND(N13*(VLOOKUP(Sheet!$I$5,Fibonacci89!$K$2:$L$10,2,FALSE)),0)</f>
        <v>38</v>
      </c>
      <c r="P13" s="59">
        <v>76</v>
      </c>
      <c r="Q13" s="94">
        <f>ROUND(P13*(VLOOKUP(Sheet!$I$5,Fibonacci89!$K$2:$L$10,2,FALSE)),0)</f>
        <v>76</v>
      </c>
      <c r="R13" s="59">
        <v>115</v>
      </c>
      <c r="S13" s="96">
        <f>ROUND(R13*(VLOOKUP(Sheet!$I$5,Fibonacci89!$K$2:$L$10,2,FALSE)),0)</f>
        <v>115</v>
      </c>
      <c r="U13" s="57"/>
    </row>
    <row r="14" spans="1:21">
      <c r="A14" s="67" t="s">
        <v>250</v>
      </c>
      <c r="B14" s="20"/>
      <c r="C14" s="26"/>
      <c r="D14" s="36" t="s">
        <v>33</v>
      </c>
      <c r="E14" s="30" t="s">
        <v>12</v>
      </c>
      <c r="F14" s="67" t="s">
        <v>250</v>
      </c>
      <c r="G14" s="73">
        <v>0</v>
      </c>
      <c r="J14" s="75">
        <f>IF(Sheet!F121="shield",Sheet!G123,0)</f>
        <v>0</v>
      </c>
      <c r="M14" s="37">
        <v>12</v>
      </c>
      <c r="N14" s="59">
        <v>43</v>
      </c>
      <c r="O14" s="94">
        <f>ROUND(N14*(VLOOKUP(Sheet!$I$5,Fibonacci89!$K$2:$L$10,2,FALSE)),0)</f>
        <v>43</v>
      </c>
      <c r="P14" s="59">
        <v>86</v>
      </c>
      <c r="Q14" s="94">
        <f>ROUND(P14*(VLOOKUP(Sheet!$I$5,Fibonacci89!$K$2:$L$10,2,FALSE)),0)</f>
        <v>86</v>
      </c>
      <c r="R14" s="59">
        <v>130</v>
      </c>
      <c r="S14" s="96">
        <f>ROUND(R14*(VLOOKUP(Sheet!$I$5,Fibonacci89!$K$2:$L$10,2,FALSE)),0)</f>
        <v>130</v>
      </c>
      <c r="U14" s="57"/>
    </row>
    <row r="15" spans="1:21" ht="16.5">
      <c r="A15" s="23" t="s">
        <v>118</v>
      </c>
      <c r="B15" s="20" t="s">
        <v>122</v>
      </c>
      <c r="C15" s="27" t="s">
        <v>138</v>
      </c>
      <c r="D15" s="37" t="s">
        <v>53</v>
      </c>
      <c r="E15" s="34">
        <v>8</v>
      </c>
      <c r="F15" s="71" t="s">
        <v>196</v>
      </c>
      <c r="G15" s="73">
        <v>-8</v>
      </c>
      <c r="J15" s="76" t="s">
        <v>299</v>
      </c>
      <c r="M15" s="37">
        <v>13</v>
      </c>
      <c r="N15" s="59">
        <v>50</v>
      </c>
      <c r="O15" s="94">
        <f>ROUND(N15*(VLOOKUP(Sheet!$I$5,Fibonacci89!$K$2:$L$10,2,FALSE)),0)</f>
        <v>50</v>
      </c>
      <c r="P15" s="59">
        <v>100</v>
      </c>
      <c r="Q15" s="94">
        <f>ROUND(P15*(VLOOKUP(Sheet!$I$5,Fibonacci89!$K$2:$L$10,2,FALSE)),0)</f>
        <v>100</v>
      </c>
      <c r="R15" s="59">
        <v>150</v>
      </c>
      <c r="S15" s="96">
        <f>ROUND(R15*(VLOOKUP(Sheet!$I$5,Fibonacci89!$K$2:$L$10,2,FALSE)),0)</f>
        <v>150</v>
      </c>
      <c r="U15" s="57"/>
    </row>
    <row r="16" spans="1:21" ht="15.75">
      <c r="A16" s="23" t="s">
        <v>119</v>
      </c>
      <c r="B16" s="20" t="s">
        <v>123</v>
      </c>
      <c r="C16" s="26" t="s">
        <v>139</v>
      </c>
      <c r="D16" s="37" t="s">
        <v>52</v>
      </c>
      <c r="E16" s="34">
        <v>6</v>
      </c>
      <c r="F16" s="71" t="s">
        <v>197</v>
      </c>
      <c r="G16" s="73">
        <v>-4</v>
      </c>
      <c r="J16" s="77">
        <f>SUM(J10:J14)</f>
        <v>0</v>
      </c>
      <c r="M16" s="37">
        <v>14</v>
      </c>
      <c r="N16" s="59">
        <v>58</v>
      </c>
      <c r="O16" s="94">
        <f>ROUND(N16*(VLOOKUP(Sheet!$I$5,Fibonacci89!$K$2:$L$10,2,FALSE)),0)</f>
        <v>58</v>
      </c>
      <c r="P16" s="59">
        <v>116</v>
      </c>
      <c r="Q16" s="94">
        <f>ROUND(P16*(VLOOKUP(Sheet!$I$5,Fibonacci89!$K$2:$L$10,2,FALSE)),0)</f>
        <v>116</v>
      </c>
      <c r="R16" s="59">
        <v>175</v>
      </c>
      <c r="S16" s="96">
        <f>ROUND(R16*(VLOOKUP(Sheet!$I$5,Fibonacci89!$K$2:$L$10,2,FALSE)),0)</f>
        <v>175</v>
      </c>
      <c r="U16" s="57"/>
    </row>
    <row r="17" spans="1:21" ht="15.75">
      <c r="A17" s="23" t="s">
        <v>120</v>
      </c>
      <c r="B17" s="20" t="s">
        <v>124</v>
      </c>
      <c r="C17" s="26" t="s">
        <v>140</v>
      </c>
      <c r="D17" s="37" t="s">
        <v>51</v>
      </c>
      <c r="E17" s="34">
        <v>4</v>
      </c>
      <c r="F17" s="71" t="s">
        <v>198</v>
      </c>
      <c r="G17" s="73">
        <v>0</v>
      </c>
      <c r="M17" s="37">
        <v>15</v>
      </c>
      <c r="N17" s="59">
        <v>66</v>
      </c>
      <c r="O17" s="94">
        <f>ROUND(N17*(VLOOKUP(Sheet!$I$5,Fibonacci89!$K$2:$L$10,2,FALSE)),0)</f>
        <v>66</v>
      </c>
      <c r="P17" s="59">
        <v>133</v>
      </c>
      <c r="Q17" s="94">
        <f>ROUND(P17*(VLOOKUP(Sheet!$I$5,Fibonacci89!$K$2:$L$10,2,FALSE)),0)</f>
        <v>133</v>
      </c>
      <c r="R17" s="59">
        <v>200</v>
      </c>
      <c r="S17" s="96">
        <f>ROUND(R17*(VLOOKUP(Sheet!$I$5,Fibonacci89!$K$2:$L$10,2,FALSE)),0)</f>
        <v>200</v>
      </c>
      <c r="U17" s="57"/>
    </row>
    <row r="18" spans="1:21" ht="15.75">
      <c r="A18" s="23" t="s">
        <v>19</v>
      </c>
      <c r="B18" s="20" t="s">
        <v>125</v>
      </c>
      <c r="C18" s="28" t="s">
        <v>137</v>
      </c>
      <c r="D18" s="37" t="s">
        <v>50</v>
      </c>
      <c r="E18" s="34">
        <v>2</v>
      </c>
      <c r="F18" s="71" t="s">
        <v>199</v>
      </c>
      <c r="G18" s="73">
        <v>4</v>
      </c>
      <c r="J18" s="48"/>
      <c r="M18" s="37">
        <v>16</v>
      </c>
      <c r="N18" s="59">
        <v>76</v>
      </c>
      <c r="O18" s="94">
        <f>ROUND(N18*(VLOOKUP(Sheet!$I$5,Fibonacci89!$K$2:$L$10,2,FALSE)),0)</f>
        <v>76</v>
      </c>
      <c r="P18" s="59">
        <v>153</v>
      </c>
      <c r="Q18" s="94">
        <f>ROUND(P18*(VLOOKUP(Sheet!$I$5,Fibonacci89!$K$2:$L$10,2,FALSE)),0)</f>
        <v>153</v>
      </c>
      <c r="R18" s="59">
        <v>230</v>
      </c>
      <c r="S18" s="96">
        <f>ROUND(R18*(VLOOKUP(Sheet!$I$5,Fibonacci89!$K$2:$L$10,2,FALSE)),0)</f>
        <v>230</v>
      </c>
      <c r="U18" s="57"/>
    </row>
    <row r="19" spans="1:21" ht="15.75">
      <c r="A19" s="23" t="s">
        <v>121</v>
      </c>
      <c r="B19" s="20" t="s">
        <v>126</v>
      </c>
      <c r="D19" s="37" t="s">
        <v>49</v>
      </c>
      <c r="E19" s="34">
        <v>0</v>
      </c>
      <c r="F19" s="72" t="s">
        <v>200</v>
      </c>
      <c r="G19" s="74">
        <v>8</v>
      </c>
      <c r="J19" s="48"/>
      <c r="M19" s="37">
        <v>17</v>
      </c>
      <c r="N19" s="59">
        <v>86</v>
      </c>
      <c r="O19" s="94">
        <f>ROUND(N19*(VLOOKUP(Sheet!$I$5,Fibonacci89!$K$2:$L$10,2,FALSE)),0)</f>
        <v>86</v>
      </c>
      <c r="P19" s="59">
        <v>173</v>
      </c>
      <c r="Q19" s="94">
        <f>ROUND(P19*(VLOOKUP(Sheet!$I$5,Fibonacci89!$K$2:$L$10,2,FALSE)),0)</f>
        <v>173</v>
      </c>
      <c r="R19" s="59">
        <v>260</v>
      </c>
      <c r="S19" s="96">
        <f>ROUND(R19*(VLOOKUP(Sheet!$I$5,Fibonacci89!$K$2:$L$10,2,FALSE)),0)</f>
        <v>260</v>
      </c>
      <c r="U19" s="57"/>
    </row>
    <row r="20" spans="1:21">
      <c r="A20" s="23" t="s">
        <v>127</v>
      </c>
      <c r="B20" s="20" t="s">
        <v>128</v>
      </c>
      <c r="D20" s="37" t="s">
        <v>48</v>
      </c>
      <c r="E20" s="34">
        <v>-2</v>
      </c>
      <c r="F20" s="105" t="s">
        <v>201</v>
      </c>
      <c r="G20" s="19"/>
      <c r="J20" s="89"/>
      <c r="M20" s="37">
        <v>18</v>
      </c>
      <c r="N20" s="59">
        <v>100</v>
      </c>
      <c r="O20" s="94">
        <f>ROUND(N20*(VLOOKUP(Sheet!$I$5,Fibonacci89!$K$2:$L$10,2,FALSE)),0)</f>
        <v>100</v>
      </c>
      <c r="P20" s="59">
        <v>200</v>
      </c>
      <c r="Q20" s="94">
        <f>ROUND(P20*(VLOOKUP(Sheet!$I$5,Fibonacci89!$K$2:$L$10,2,FALSE)),0)</f>
        <v>200</v>
      </c>
      <c r="R20" s="59">
        <v>300</v>
      </c>
      <c r="S20" s="96">
        <f>ROUND(R20*(VLOOKUP(Sheet!$I$5,Fibonacci89!$K$2:$L$10,2,FALSE)),0)</f>
        <v>300</v>
      </c>
      <c r="U20" s="57"/>
    </row>
    <row r="21" spans="1:21">
      <c r="A21" s="23" t="s">
        <v>129</v>
      </c>
      <c r="B21" s="20" t="s">
        <v>132</v>
      </c>
      <c r="D21" s="37" t="s">
        <v>47</v>
      </c>
      <c r="E21" s="34">
        <v>-4</v>
      </c>
      <c r="F21" s="24"/>
      <c r="G21" s="21">
        <f>IF(Sheet!X5&gt;0,8,0)</f>
        <v>0</v>
      </c>
      <c r="J21" s="90"/>
      <c r="M21" s="37">
        <v>19</v>
      </c>
      <c r="N21" s="59">
        <v>116</v>
      </c>
      <c r="O21" s="94">
        <f>ROUND(N21*(VLOOKUP(Sheet!$I$5,Fibonacci89!$K$2:$L$10,2,FALSE)),0)</f>
        <v>116</v>
      </c>
      <c r="P21" s="59">
        <v>233</v>
      </c>
      <c r="Q21" s="94">
        <f>ROUND(P21*(VLOOKUP(Sheet!$I$5,Fibonacci89!$K$2:$L$10,2,FALSE)),0)</f>
        <v>233</v>
      </c>
      <c r="R21" s="59">
        <v>350</v>
      </c>
      <c r="S21" s="96">
        <f>ROUND(R21*(VLOOKUP(Sheet!$I$5,Fibonacci89!$K$2:$L$10,2,FALSE)),0)</f>
        <v>350</v>
      </c>
      <c r="U21" s="57"/>
    </row>
    <row r="22" spans="1:21">
      <c r="A22" s="23" t="s">
        <v>130</v>
      </c>
      <c r="B22" s="20" t="s">
        <v>133</v>
      </c>
      <c r="D22" s="37" t="s">
        <v>46</v>
      </c>
      <c r="E22" s="34">
        <v>-6</v>
      </c>
      <c r="F22" s="105" t="s">
        <v>203</v>
      </c>
      <c r="G22" s="19"/>
      <c r="J22" s="90"/>
      <c r="M22" s="37">
        <v>20</v>
      </c>
      <c r="N22" s="59">
        <v>133</v>
      </c>
      <c r="O22" s="94">
        <f>ROUND(N22*(VLOOKUP(Sheet!$I$5,Fibonacci89!$K$2:$L$10,2,FALSE)),0)</f>
        <v>133</v>
      </c>
      <c r="P22" s="59">
        <v>266</v>
      </c>
      <c r="Q22" s="94">
        <f>ROUND(P22*(VLOOKUP(Sheet!$I$5,Fibonacci89!$K$2:$L$10,2,FALSE)),0)</f>
        <v>266</v>
      </c>
      <c r="R22" s="59">
        <v>400</v>
      </c>
      <c r="S22" s="96">
        <f>ROUND(R22*(VLOOKUP(Sheet!$I$5,Fibonacci89!$K$2:$L$10,2,FALSE)),0)</f>
        <v>400</v>
      </c>
      <c r="U22" s="57"/>
    </row>
    <row r="23" spans="1:21">
      <c r="A23" s="24" t="s">
        <v>131</v>
      </c>
      <c r="B23" s="21" t="s">
        <v>134</v>
      </c>
      <c r="D23" s="38" t="s">
        <v>45</v>
      </c>
      <c r="E23" s="35">
        <v>-8</v>
      </c>
      <c r="F23" s="24"/>
      <c r="G23" s="21">
        <f>IF(Sheet!M8&gt;0,8,0)</f>
        <v>0</v>
      </c>
      <c r="M23" s="37">
        <v>21</v>
      </c>
      <c r="N23" s="59">
        <v>153</v>
      </c>
      <c r="O23" s="94">
        <f>ROUND(N23*(VLOOKUP(Sheet!$I$5,Fibonacci89!$K$2:$L$10,2,FALSE)),0)</f>
        <v>153</v>
      </c>
      <c r="P23" s="59">
        <v>306</v>
      </c>
      <c r="Q23" s="94">
        <f>ROUND(P23*(VLOOKUP(Sheet!$I$5,Fibonacci89!$K$2:$L$10,2,FALSE)),0)</f>
        <v>306</v>
      </c>
      <c r="R23" s="59">
        <v>460</v>
      </c>
      <c r="S23" s="96">
        <f>ROUND(R23*(VLOOKUP(Sheet!$I$5,Fibonacci89!$K$2:$L$10,2,FALSE)),0)</f>
        <v>460</v>
      </c>
      <c r="U23" s="57"/>
    </row>
    <row r="24" spans="1:21">
      <c r="M24" s="37">
        <v>22</v>
      </c>
      <c r="N24" s="59">
        <v>173</v>
      </c>
      <c r="O24" s="94">
        <f>ROUND(N24*(VLOOKUP(Sheet!$I$5,Fibonacci89!$K$2:$L$10,2,FALSE)),0)</f>
        <v>173</v>
      </c>
      <c r="P24" s="59">
        <v>346</v>
      </c>
      <c r="Q24" s="94">
        <f>ROUND(P24*(VLOOKUP(Sheet!$I$5,Fibonacci89!$K$2:$L$10,2,FALSE)),0)</f>
        <v>346</v>
      </c>
      <c r="R24" s="59">
        <v>520</v>
      </c>
      <c r="S24" s="96">
        <f>ROUND(R24*(VLOOKUP(Sheet!$I$5,Fibonacci89!$K$2:$L$10,2,FALSE)),0)</f>
        <v>520</v>
      </c>
      <c r="U24" s="57"/>
    </row>
    <row r="25" spans="1:21">
      <c r="A25" s="485" t="s">
        <v>341</v>
      </c>
      <c r="B25" s="486"/>
      <c r="C25" s="486"/>
      <c r="D25" s="486"/>
      <c r="E25" s="486"/>
      <c r="F25" s="487"/>
      <c r="G25" s="88"/>
      <c r="M25" s="37">
        <v>23</v>
      </c>
      <c r="N25" s="59">
        <v>200</v>
      </c>
      <c r="O25" s="94">
        <f>ROUND(N25*(VLOOKUP(Sheet!$I$5,Fibonacci89!$K$2:$L$10,2,FALSE)),0)</f>
        <v>200</v>
      </c>
      <c r="P25" s="59">
        <v>400</v>
      </c>
      <c r="Q25" s="94">
        <f>ROUND(P25*(VLOOKUP(Sheet!$I$5,Fibonacci89!$K$2:$L$10,2,FALSE)),0)</f>
        <v>400</v>
      </c>
      <c r="R25" s="59">
        <v>600</v>
      </c>
      <c r="S25" s="96">
        <f>ROUND(R25*(VLOOKUP(Sheet!$I$5,Fibonacci89!$K$2:$L$10,2,FALSE)),0)</f>
        <v>600</v>
      </c>
      <c r="U25" s="57"/>
    </row>
    <row r="26" spans="1:21">
      <c r="A26" s="120">
        <v>0</v>
      </c>
      <c r="B26" s="115" t="s">
        <v>320</v>
      </c>
      <c r="C26" s="115" t="s">
        <v>330</v>
      </c>
      <c r="D26" s="115" t="s">
        <v>328</v>
      </c>
      <c r="E26" s="115" t="s">
        <v>340</v>
      </c>
      <c r="F26" s="116" t="s">
        <v>183</v>
      </c>
      <c r="G26" s="88"/>
      <c r="H26" s="489"/>
      <c r="I26" s="489"/>
      <c r="M26" s="37">
        <v>24</v>
      </c>
      <c r="N26" s="59">
        <v>233</v>
      </c>
      <c r="O26" s="94">
        <f>ROUND(N26*(VLOOKUP(Sheet!$I$5,Fibonacci89!$K$2:$L$10,2,FALSE)),0)</f>
        <v>233</v>
      </c>
      <c r="P26" s="59">
        <v>466</v>
      </c>
      <c r="Q26" s="94">
        <f>ROUND(P26*(VLOOKUP(Sheet!$I$5,Fibonacci89!$K$2:$L$10,2,FALSE)),0)</f>
        <v>466</v>
      </c>
      <c r="R26" s="59">
        <v>700</v>
      </c>
      <c r="S26" s="96">
        <f>ROUND(R26*(VLOOKUP(Sheet!$I$5,Fibonacci89!$K$2:$L$10,2,FALSE)),0)</f>
        <v>700</v>
      </c>
      <c r="U26" s="57"/>
    </row>
    <row r="27" spans="1:21" ht="15.75" customHeight="1">
      <c r="A27" s="37">
        <f>Sheet!O116</f>
        <v>23</v>
      </c>
      <c r="B27" s="59" t="s">
        <v>302</v>
      </c>
      <c r="C27" s="59">
        <v>0</v>
      </c>
      <c r="D27" s="89" t="s">
        <v>95</v>
      </c>
      <c r="E27" s="59">
        <v>99</v>
      </c>
      <c r="F27" s="117" t="s">
        <v>338</v>
      </c>
      <c r="G27" s="88"/>
      <c r="H27" s="488"/>
      <c r="I27" s="488"/>
      <c r="M27" s="37">
        <v>25</v>
      </c>
      <c r="N27" s="59">
        <v>266</v>
      </c>
      <c r="O27" s="94">
        <f>ROUND(N27*(VLOOKUP(Sheet!$I$5,Fibonacci89!$K$2:$L$10,2,FALSE)),0)</f>
        <v>266</v>
      </c>
      <c r="P27" s="59">
        <v>533</v>
      </c>
      <c r="Q27" s="94">
        <f>ROUND(P27*(VLOOKUP(Sheet!$I$5,Fibonacci89!$K$2:$L$10,2,FALSE)),0)</f>
        <v>533</v>
      </c>
      <c r="R27" s="59">
        <v>800</v>
      </c>
      <c r="S27" s="96">
        <f>ROUND(R27*(VLOOKUP(Sheet!$I$5,Fibonacci89!$K$2:$L$10,2,FALSE)),0)</f>
        <v>800</v>
      </c>
      <c r="U27" s="57"/>
    </row>
    <row r="28" spans="1:21">
      <c r="A28" s="37">
        <f>Sheet!O118</f>
        <v>46</v>
      </c>
      <c r="B28" s="89" t="s">
        <v>39</v>
      </c>
      <c r="C28" s="89">
        <v>-3</v>
      </c>
      <c r="D28" s="89" t="s">
        <v>95</v>
      </c>
      <c r="E28" s="89">
        <v>3</v>
      </c>
      <c r="F28" s="117" t="s">
        <v>338</v>
      </c>
      <c r="G28" s="88"/>
      <c r="H28" s="488"/>
      <c r="I28" s="488"/>
      <c r="M28" s="37">
        <v>26</v>
      </c>
      <c r="N28" s="59">
        <v>306</v>
      </c>
      <c r="O28" s="94">
        <f>ROUND(N28*(VLOOKUP(Sheet!$I$5,Fibonacci89!$K$2:$L$10,2,FALSE)),0)</f>
        <v>306</v>
      </c>
      <c r="P28" s="59">
        <v>613</v>
      </c>
      <c r="Q28" s="94">
        <f>ROUND(P28*(VLOOKUP(Sheet!$I$5,Fibonacci89!$K$2:$L$10,2,FALSE)),0)</f>
        <v>613</v>
      </c>
      <c r="R28" s="59">
        <v>920</v>
      </c>
      <c r="S28" s="96">
        <f>ROUND(R28*(VLOOKUP(Sheet!$I$5,Fibonacci89!$K$2:$L$10,2,FALSE)),0)</f>
        <v>920</v>
      </c>
      <c r="U28" s="57"/>
    </row>
    <row r="29" spans="1:21">
      <c r="A29" s="38">
        <f>Sheet!O120</f>
        <v>70</v>
      </c>
      <c r="B29" s="100" t="s">
        <v>329</v>
      </c>
      <c r="C29" s="100">
        <v>-6</v>
      </c>
      <c r="D29" s="100" t="s">
        <v>93</v>
      </c>
      <c r="E29" s="100">
        <v>1</v>
      </c>
      <c r="F29" s="118" t="s">
        <v>339</v>
      </c>
      <c r="H29" s="488"/>
      <c r="I29" s="488"/>
      <c r="M29" s="37">
        <v>27</v>
      </c>
      <c r="N29" s="59">
        <v>346</v>
      </c>
      <c r="O29" s="94">
        <f>ROUND(N29*(VLOOKUP(Sheet!$I$5,Fibonacci89!$K$2:$L$10,2,FALSE)),0)</f>
        <v>346</v>
      </c>
      <c r="P29" s="59">
        <v>693</v>
      </c>
      <c r="Q29" s="94">
        <f>ROUND(P29*(VLOOKUP(Sheet!$I$5,Fibonacci89!$K$2:$L$10,2,FALSE)),0)</f>
        <v>693</v>
      </c>
      <c r="R29" s="59">
        <v>1040</v>
      </c>
      <c r="S29" s="96">
        <f>ROUND(R29*(VLOOKUP(Sheet!$I$5,Fibonacci89!$K$2:$L$10,2,FALSE)),0)</f>
        <v>1040</v>
      </c>
      <c r="U29" s="57"/>
    </row>
    <row r="30" spans="1:21">
      <c r="A30" s="106"/>
      <c r="B30" s="113" t="s">
        <v>347</v>
      </c>
      <c r="C30" s="114" t="str">
        <f>VLOOKUP(E36,E33:F35,2,0)</f>
        <v>Medium</v>
      </c>
      <c r="D30" s="107"/>
      <c r="E30" s="472" t="s">
        <v>352</v>
      </c>
      <c r="F30" s="474"/>
      <c r="M30" s="37">
        <v>28</v>
      </c>
      <c r="N30" s="59">
        <v>400</v>
      </c>
      <c r="O30" s="94">
        <f>ROUND(N30*(VLOOKUP(Sheet!$I$5,Fibonacci89!$K$2:$L$10,2,FALSE)),0)</f>
        <v>400</v>
      </c>
      <c r="P30" s="59">
        <v>800</v>
      </c>
      <c r="Q30" s="94">
        <f>ROUND(P30*(VLOOKUP(Sheet!$I$5,Fibonacci89!$K$2:$L$10,2,FALSE)),0)</f>
        <v>800</v>
      </c>
      <c r="R30" s="59">
        <v>1200</v>
      </c>
      <c r="S30" s="96">
        <f>ROUND(R30*(VLOOKUP(Sheet!$I$5,Fibonacci89!$K$2:$L$10,2,FALSE)),0)</f>
        <v>1200</v>
      </c>
      <c r="U30" s="57"/>
    </row>
    <row r="31" spans="1:21">
      <c r="A31" s="106"/>
      <c r="B31" s="472" t="s">
        <v>350</v>
      </c>
      <c r="C31" s="474"/>
      <c r="E31" s="109">
        <f>Sheet!H127</f>
        <v>3</v>
      </c>
      <c r="F31" s="110">
        <f>Sheet!T112</f>
        <v>3</v>
      </c>
      <c r="M31" s="37">
        <v>29</v>
      </c>
      <c r="N31" s="59">
        <v>466</v>
      </c>
      <c r="O31" s="94">
        <f>ROUND(N31*(VLOOKUP(Sheet!$I$5,Fibonacci89!$K$2:$L$10,2,FALSE)),0)</f>
        <v>466</v>
      </c>
      <c r="P31" s="59">
        <v>933</v>
      </c>
      <c r="Q31" s="94">
        <f>ROUND(P31*(VLOOKUP(Sheet!$I$5,Fibonacci89!$K$2:$L$10,2,FALSE)),0)</f>
        <v>933</v>
      </c>
      <c r="R31" s="59">
        <v>1400</v>
      </c>
      <c r="S31" s="96">
        <f>ROUND(R31*(VLOOKUP(Sheet!$I$5,Fibonacci89!$K$2:$L$10,2,FALSE)),0)</f>
        <v>1400</v>
      </c>
      <c r="U31" s="57"/>
    </row>
    <row r="32" spans="1:21">
      <c r="A32" s="106"/>
      <c r="B32" s="109">
        <f>SUM(Sheet!I117:I126)</f>
        <v>-4</v>
      </c>
      <c r="C32" s="110">
        <f>Sheet!S112</f>
        <v>-3</v>
      </c>
      <c r="E32" s="112" t="s">
        <v>351</v>
      </c>
      <c r="F32" s="111">
        <f>SMALL(E31:F31,1)</f>
        <v>3</v>
      </c>
      <c r="M32" s="37">
        <v>30</v>
      </c>
      <c r="N32" s="59">
        <f>N22*4</f>
        <v>532</v>
      </c>
      <c r="O32" s="94">
        <f>ROUND(N32*(VLOOKUP(Sheet!$I$5,Fibonacci89!$K$2:$L$10,2,FALSE)),0)</f>
        <v>532</v>
      </c>
      <c r="P32" s="59">
        <f>P22*4</f>
        <v>1064</v>
      </c>
      <c r="Q32" s="94">
        <f>ROUND(P32*(VLOOKUP(Sheet!$I$5,Fibonacci89!$K$2:$L$10,2,FALSE)),0)</f>
        <v>1064</v>
      </c>
      <c r="R32" s="59">
        <f>R22*4</f>
        <v>1600</v>
      </c>
      <c r="S32" s="96">
        <f>ROUND(R32*(VLOOKUP(Sheet!$I$5,Fibonacci89!$K$2:$L$10,2,FALSE)),0)</f>
        <v>1600</v>
      </c>
    </row>
    <row r="33" spans="2:19">
      <c r="B33" s="112" t="s">
        <v>351</v>
      </c>
      <c r="C33" s="124">
        <f>SMALL(B32:C32,1)</f>
        <v>-4</v>
      </c>
      <c r="E33" s="121">
        <v>1</v>
      </c>
      <c r="F33" s="122" t="s">
        <v>302</v>
      </c>
      <c r="G33" s="119"/>
      <c r="M33" s="37">
        <v>31</v>
      </c>
      <c r="N33" s="59">
        <f>N23*4</f>
        <v>612</v>
      </c>
      <c r="O33" s="94">
        <f>ROUND(N33*(VLOOKUP(Sheet!$I$5,Fibonacci89!$K$2:$L$10,2,FALSE)),0)</f>
        <v>612</v>
      </c>
      <c r="P33" s="59">
        <f t="shared" ref="P33:P42" si="1">P23*4</f>
        <v>1224</v>
      </c>
      <c r="Q33" s="94">
        <f>ROUND(P33*(VLOOKUP(Sheet!$I$5,Fibonacci89!$K$2:$L$10,2,FALSE)),0)</f>
        <v>1224</v>
      </c>
      <c r="R33" s="59">
        <f t="shared" ref="R33:R42" si="2">R23*4</f>
        <v>1840</v>
      </c>
      <c r="S33" s="96">
        <f>ROUND(R33*(VLOOKUP(Sheet!$I$5,Fibonacci89!$K$2:$L$10,2,FALSE)),0)</f>
        <v>1840</v>
      </c>
    </row>
    <row r="34" spans="2:19">
      <c r="B34" s="22" t="s">
        <v>355</v>
      </c>
      <c r="C34" s="19" t="s">
        <v>354</v>
      </c>
      <c r="E34" s="98">
        <v>2</v>
      </c>
      <c r="F34" s="34" t="s">
        <v>39</v>
      </c>
      <c r="G34" s="119"/>
      <c r="M34" s="37">
        <v>32</v>
      </c>
      <c r="N34" s="59">
        <f t="shared" ref="N34:N42" si="3">N24*4</f>
        <v>692</v>
      </c>
      <c r="O34" s="94">
        <f>ROUND(N34*(VLOOKUP(Sheet!$I$5,Fibonacci89!$K$2:$L$10,2,FALSE)),0)</f>
        <v>692</v>
      </c>
      <c r="P34" s="59">
        <f t="shared" si="1"/>
        <v>1384</v>
      </c>
      <c r="Q34" s="94">
        <f>ROUND(P34*(VLOOKUP(Sheet!$I$5,Fibonacci89!$K$2:$L$10,2,FALSE)),0)</f>
        <v>1384</v>
      </c>
      <c r="R34" s="59">
        <f t="shared" si="2"/>
        <v>2080</v>
      </c>
      <c r="S34" s="96">
        <f>ROUND(R34*(VLOOKUP(Sheet!$I$5,Fibonacci89!$K$2:$L$10,2,FALSE)),0)</f>
        <v>2080</v>
      </c>
    </row>
    <row r="35" spans="2:19">
      <c r="B35" s="109">
        <f>Sheet!D15</f>
        <v>3</v>
      </c>
      <c r="C35" s="110">
        <f>F32</f>
        <v>3</v>
      </c>
      <c r="E35" s="37">
        <v>3</v>
      </c>
      <c r="F35" s="34" t="s">
        <v>329</v>
      </c>
      <c r="G35" s="119"/>
      <c r="M35" s="37">
        <v>33</v>
      </c>
      <c r="N35" s="59">
        <f t="shared" si="3"/>
        <v>800</v>
      </c>
      <c r="O35" s="94">
        <f>ROUND(N35*(VLOOKUP(Sheet!$I$5,Fibonacci89!$K$2:$L$10,2,FALSE)),0)</f>
        <v>800</v>
      </c>
      <c r="P35" s="59">
        <f t="shared" si="1"/>
        <v>1600</v>
      </c>
      <c r="Q35" s="94">
        <f>ROUND(P35*(VLOOKUP(Sheet!$I$5,Fibonacci89!$K$2:$L$10,2,FALSE)),0)</f>
        <v>1600</v>
      </c>
      <c r="R35" s="59">
        <f t="shared" si="2"/>
        <v>2400</v>
      </c>
      <c r="S35" s="96">
        <f>ROUND(R35*(VLOOKUP(Sheet!$I$5,Fibonacci89!$K$2:$L$10,2,FALSE)),0)</f>
        <v>2400</v>
      </c>
    </row>
    <row r="36" spans="2:19">
      <c r="B36" s="112" t="s">
        <v>351</v>
      </c>
      <c r="C36" s="111">
        <f>IF(B35&gt;C35,C35,B35)</f>
        <v>3</v>
      </c>
      <c r="E36" s="123">
        <f>MATCH(Gear!F2,A26:A29,1)</f>
        <v>2</v>
      </c>
      <c r="F36" s="21" t="s">
        <v>356</v>
      </c>
      <c r="M36" s="37">
        <v>34</v>
      </c>
      <c r="N36" s="59">
        <f t="shared" si="3"/>
        <v>932</v>
      </c>
      <c r="O36" s="94">
        <f>ROUND(N36*(VLOOKUP(Sheet!$I$5,Fibonacci89!$K$2:$L$10,2,FALSE)),0)</f>
        <v>932</v>
      </c>
      <c r="P36" s="59">
        <f t="shared" si="1"/>
        <v>1864</v>
      </c>
      <c r="Q36" s="94">
        <f>ROUND(P36*(VLOOKUP(Sheet!$I$5,Fibonacci89!$K$2:$L$10,2,FALSE)),0)</f>
        <v>1864</v>
      </c>
      <c r="R36" s="59">
        <f t="shared" si="2"/>
        <v>2800</v>
      </c>
      <c r="S36" s="96">
        <f>ROUND(R36*(VLOOKUP(Sheet!$I$5,Fibonacci89!$K$2:$L$10,2,FALSE)),0)</f>
        <v>2800</v>
      </c>
    </row>
    <row r="37" spans="2:19">
      <c r="M37" s="37">
        <v>35</v>
      </c>
      <c r="N37" s="59">
        <f t="shared" si="3"/>
        <v>1064</v>
      </c>
      <c r="O37" s="94">
        <f>ROUND(N37*(VLOOKUP(Sheet!$I$5,Fibonacci89!$K$2:$L$10,2,FALSE)),0)</f>
        <v>1064</v>
      </c>
      <c r="P37" s="59">
        <f t="shared" si="1"/>
        <v>2132</v>
      </c>
      <c r="Q37" s="94">
        <f>ROUND(P37*(VLOOKUP(Sheet!$I$5,Fibonacci89!$K$2:$L$10,2,FALSE)),0)</f>
        <v>2132</v>
      </c>
      <c r="R37" s="59">
        <f t="shared" si="2"/>
        <v>3200</v>
      </c>
      <c r="S37" s="96">
        <f>ROUND(R37*(VLOOKUP(Sheet!$I$5,Fibonacci89!$K$2:$L$10,2,FALSE)),0)</f>
        <v>3200</v>
      </c>
    </row>
    <row r="38" spans="2:19">
      <c r="D38" s="106"/>
      <c r="M38" s="37">
        <v>36</v>
      </c>
      <c r="N38" s="59">
        <f t="shared" si="3"/>
        <v>1224</v>
      </c>
      <c r="O38" s="94">
        <f>ROUND(N38*(VLOOKUP(Sheet!$I$5,Fibonacci89!$K$2:$L$10,2,FALSE)),0)</f>
        <v>1224</v>
      </c>
      <c r="P38" s="59">
        <f t="shared" si="1"/>
        <v>2452</v>
      </c>
      <c r="Q38" s="94">
        <f>ROUND(P38*(VLOOKUP(Sheet!$I$5,Fibonacci89!$K$2:$L$10,2,FALSE)),0)</f>
        <v>2452</v>
      </c>
      <c r="R38" s="59">
        <f t="shared" si="2"/>
        <v>3680</v>
      </c>
      <c r="S38" s="96">
        <f>ROUND(R38*(VLOOKUP(Sheet!$I$5,Fibonacci89!$K$2:$L$10,2,FALSE)),0)</f>
        <v>3680</v>
      </c>
    </row>
    <row r="39" spans="2:19">
      <c r="D39" s="106"/>
      <c r="M39" s="37">
        <v>37</v>
      </c>
      <c r="N39" s="59">
        <f t="shared" si="3"/>
        <v>1384</v>
      </c>
      <c r="O39" s="94">
        <f>ROUND(N39*(VLOOKUP(Sheet!$I$5,Fibonacci89!$K$2:$L$10,2,FALSE)),0)</f>
        <v>1384</v>
      </c>
      <c r="P39" s="59">
        <f t="shared" si="1"/>
        <v>2772</v>
      </c>
      <c r="Q39" s="94">
        <f>ROUND(P39*(VLOOKUP(Sheet!$I$5,Fibonacci89!$K$2:$L$10,2,FALSE)),0)</f>
        <v>2772</v>
      </c>
      <c r="R39" s="59">
        <f t="shared" si="2"/>
        <v>4160</v>
      </c>
      <c r="S39" s="96">
        <f>ROUND(R39*(VLOOKUP(Sheet!$I$5,Fibonacci89!$K$2:$L$10,2,FALSE)),0)</f>
        <v>4160</v>
      </c>
    </row>
    <row r="40" spans="2:19">
      <c r="M40" s="37">
        <v>38</v>
      </c>
      <c r="N40" s="59">
        <f t="shared" si="3"/>
        <v>1600</v>
      </c>
      <c r="O40" s="94">
        <f>ROUND(N40*(VLOOKUP(Sheet!$I$5,Fibonacci89!$K$2:$L$10,2,FALSE)),0)</f>
        <v>1600</v>
      </c>
      <c r="P40" s="59">
        <f t="shared" si="1"/>
        <v>3200</v>
      </c>
      <c r="Q40" s="94">
        <f>ROUND(P40*(VLOOKUP(Sheet!$I$5,Fibonacci89!$K$2:$L$10,2,FALSE)),0)</f>
        <v>3200</v>
      </c>
      <c r="R40" s="59">
        <f t="shared" si="2"/>
        <v>4800</v>
      </c>
      <c r="S40" s="96">
        <f>ROUND(R40*(VLOOKUP(Sheet!$I$5,Fibonacci89!$K$2:$L$10,2,FALSE)),0)</f>
        <v>4800</v>
      </c>
    </row>
    <row r="41" spans="2:19">
      <c r="B41" s="107"/>
      <c r="C41" s="106"/>
      <c r="M41" s="37">
        <v>39</v>
      </c>
      <c r="N41" s="59">
        <f t="shared" si="3"/>
        <v>1864</v>
      </c>
      <c r="O41" s="94">
        <f>ROUND(N41*(VLOOKUP(Sheet!$I$5,Fibonacci89!$K$2:$L$10,2,FALSE)),0)</f>
        <v>1864</v>
      </c>
      <c r="P41" s="59">
        <f t="shared" si="1"/>
        <v>3732</v>
      </c>
      <c r="Q41" s="94">
        <f>ROUND(P41*(VLOOKUP(Sheet!$I$5,Fibonacci89!$K$2:$L$10,2,FALSE)),0)</f>
        <v>3732</v>
      </c>
      <c r="R41" s="59">
        <f t="shared" si="2"/>
        <v>5600</v>
      </c>
      <c r="S41" s="96">
        <f>ROUND(R41*(VLOOKUP(Sheet!$I$5,Fibonacci89!$K$2:$L$10,2,FALSE)),0)</f>
        <v>5600</v>
      </c>
    </row>
    <row r="42" spans="2:19">
      <c r="B42" s="107"/>
      <c r="C42" s="106"/>
      <c r="M42" s="38">
        <v>40</v>
      </c>
      <c r="N42" s="61">
        <f t="shared" si="3"/>
        <v>2128</v>
      </c>
      <c r="O42" s="95">
        <f>ROUND(N42*(VLOOKUP(Sheet!$I$5,Fibonacci89!$K$2:$L$10,2,FALSE)),0)</f>
        <v>2128</v>
      </c>
      <c r="P42" s="61">
        <f t="shared" si="1"/>
        <v>4256</v>
      </c>
      <c r="Q42" s="95">
        <f>ROUND(P42*(VLOOKUP(Sheet!$I$5,Fibonacci89!$K$2:$L$10,2,FALSE)),0)</f>
        <v>4256</v>
      </c>
      <c r="R42" s="61">
        <f t="shared" si="2"/>
        <v>6400</v>
      </c>
      <c r="S42" s="97">
        <f>ROUND(R42*(VLOOKUP(Sheet!$I$5,Fibonacci89!$K$2:$L$10,2,FALSE)),0)</f>
        <v>6400</v>
      </c>
    </row>
    <row r="43" spans="2:19">
      <c r="B43" s="88"/>
    </row>
  </sheetData>
  <mergeCells count="15">
    <mergeCell ref="D13:E13"/>
    <mergeCell ref="M1:M2"/>
    <mergeCell ref="B31:C31"/>
    <mergeCell ref="A25:F25"/>
    <mergeCell ref="H27:I27"/>
    <mergeCell ref="H28:I28"/>
    <mergeCell ref="H29:I29"/>
    <mergeCell ref="H26:I26"/>
    <mergeCell ref="E30:F30"/>
    <mergeCell ref="S1:S2"/>
    <mergeCell ref="N1:N2"/>
    <mergeCell ref="O1:O2"/>
    <mergeCell ref="P1:P2"/>
    <mergeCell ref="Q1:Q2"/>
    <mergeCell ref="R1:R2"/>
  </mergeCells>
  <dataValidations count="1">
    <dataValidation type="list" allowBlank="1" showInputMessage="1" showErrorMessage="1" sqref="C30" xr:uid="{00000000-0002-0000-0400-000000000000}">
      <formula1>$B$27:$B$29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47"/>
  <sheetViews>
    <sheetView tabSelected="1" workbookViewId="0">
      <selection activeCell="A7" sqref="A7"/>
    </sheetView>
  </sheetViews>
  <sheetFormatPr defaultRowHeight="15"/>
  <cols>
    <col min="1" max="1" width="31" bestFit="1" customWidth="1"/>
    <col min="3" max="3" width="14.28515625" style="57" customWidth="1"/>
    <col min="4" max="4" width="11" style="57" customWidth="1"/>
    <col min="5" max="5" width="12.140625" style="57" customWidth="1"/>
    <col min="6" max="6" width="14.28515625" style="57" customWidth="1"/>
    <col min="7" max="7" width="5.42578125" style="57" bestFit="1" customWidth="1"/>
    <col min="8" max="8" width="6.5703125" style="57" bestFit="1" customWidth="1"/>
    <col min="9" max="9" width="7.42578125" style="57" bestFit="1" customWidth="1"/>
  </cols>
  <sheetData>
    <row r="1" spans="1:9">
      <c r="A1" s="475" t="s">
        <v>243</v>
      </c>
      <c r="B1" s="490" t="s">
        <v>117</v>
      </c>
      <c r="C1" s="479" t="s">
        <v>244</v>
      </c>
      <c r="D1" s="479" t="s">
        <v>245</v>
      </c>
      <c r="E1" s="479" t="s">
        <v>246</v>
      </c>
      <c r="F1" s="479" t="s">
        <v>247</v>
      </c>
      <c r="G1" s="490" t="s">
        <v>183</v>
      </c>
      <c r="H1" s="490"/>
      <c r="I1" s="476" t="s">
        <v>263</v>
      </c>
    </row>
    <row r="2" spans="1:9">
      <c r="A2" s="493"/>
      <c r="B2" s="492"/>
      <c r="C2" s="494"/>
      <c r="D2" s="494"/>
      <c r="E2" s="494"/>
      <c r="F2" s="494"/>
      <c r="G2" s="62" t="s">
        <v>248</v>
      </c>
      <c r="H2" s="62" t="s">
        <v>249</v>
      </c>
      <c r="I2" s="491"/>
    </row>
    <row r="3" spans="1:9">
      <c r="A3" s="23" t="s">
        <v>195</v>
      </c>
      <c r="B3" s="68" t="s">
        <v>250</v>
      </c>
      <c r="C3" s="59">
        <v>0</v>
      </c>
      <c r="D3" s="59">
        <v>99</v>
      </c>
      <c r="E3" s="59">
        <v>0</v>
      </c>
      <c r="F3" s="69">
        <v>0</v>
      </c>
      <c r="G3" s="59" t="s">
        <v>250</v>
      </c>
      <c r="H3" s="59" t="s">
        <v>250</v>
      </c>
      <c r="I3" s="34">
        <v>0</v>
      </c>
    </row>
    <row r="4" spans="1:9">
      <c r="A4" s="23" t="s">
        <v>264</v>
      </c>
      <c r="B4" s="26" t="s">
        <v>241</v>
      </c>
      <c r="C4" s="59">
        <v>1</v>
      </c>
      <c r="D4" s="59">
        <v>6</v>
      </c>
      <c r="E4" s="59">
        <v>0</v>
      </c>
      <c r="F4" s="69">
        <v>0</v>
      </c>
      <c r="G4" s="59" t="s">
        <v>248</v>
      </c>
      <c r="H4" s="59" t="s">
        <v>249</v>
      </c>
      <c r="I4" s="34">
        <v>10</v>
      </c>
    </row>
    <row r="5" spans="1:9">
      <c r="A5" s="23" t="s">
        <v>251</v>
      </c>
      <c r="B5" s="26" t="s">
        <v>241</v>
      </c>
      <c r="C5" s="59">
        <v>1</v>
      </c>
      <c r="D5" s="59">
        <v>8</v>
      </c>
      <c r="E5" s="59">
        <v>0</v>
      </c>
      <c r="F5" s="69">
        <v>0.05</v>
      </c>
      <c r="G5" s="59" t="s">
        <v>248</v>
      </c>
      <c r="H5" s="59" t="s">
        <v>249</v>
      </c>
      <c r="I5" s="34">
        <v>10</v>
      </c>
    </row>
    <row r="6" spans="1:9">
      <c r="A6" s="23" t="s">
        <v>252</v>
      </c>
      <c r="B6" s="26" t="s">
        <v>241</v>
      </c>
      <c r="C6" s="59">
        <v>1</v>
      </c>
      <c r="D6" s="59">
        <v>8</v>
      </c>
      <c r="E6" s="59">
        <v>0</v>
      </c>
      <c r="F6" s="69">
        <v>0.1</v>
      </c>
      <c r="G6" s="59" t="s">
        <v>248</v>
      </c>
      <c r="H6" s="59" t="s">
        <v>249</v>
      </c>
      <c r="I6" s="34">
        <v>15</v>
      </c>
    </row>
    <row r="7" spans="1:9">
      <c r="A7" s="23" t="s">
        <v>253</v>
      </c>
      <c r="B7" s="26" t="s">
        <v>241</v>
      </c>
      <c r="C7" s="59">
        <v>1</v>
      </c>
      <c r="D7" s="59">
        <v>5</v>
      </c>
      <c r="E7" s="59">
        <v>0</v>
      </c>
      <c r="F7" s="69">
        <v>0.05</v>
      </c>
      <c r="G7" s="59" t="s">
        <v>248</v>
      </c>
      <c r="H7" s="59" t="s">
        <v>249</v>
      </c>
      <c r="I7" s="34">
        <v>5</v>
      </c>
    </row>
    <row r="8" spans="1:9">
      <c r="A8" s="23" t="s">
        <v>254</v>
      </c>
      <c r="B8" s="26" t="s">
        <v>241</v>
      </c>
      <c r="C8" s="59">
        <v>2</v>
      </c>
      <c r="D8" s="59">
        <v>6</v>
      </c>
      <c r="E8" s="59">
        <v>0</v>
      </c>
      <c r="F8" s="69">
        <v>0.1</v>
      </c>
      <c r="G8" s="59" t="s">
        <v>248</v>
      </c>
      <c r="H8" s="59" t="s">
        <v>249</v>
      </c>
      <c r="I8" s="34">
        <v>15</v>
      </c>
    </row>
    <row r="9" spans="1:9">
      <c r="A9" s="23" t="s">
        <v>255</v>
      </c>
      <c r="B9" s="26" t="s">
        <v>241</v>
      </c>
      <c r="C9" s="59">
        <v>2</v>
      </c>
      <c r="D9" s="59">
        <v>6</v>
      </c>
      <c r="E9" s="59">
        <v>0</v>
      </c>
      <c r="F9" s="69">
        <v>0.1</v>
      </c>
      <c r="G9" s="59" t="s">
        <v>248</v>
      </c>
      <c r="H9" s="59" t="s">
        <v>249</v>
      </c>
      <c r="I9" s="34">
        <v>15</v>
      </c>
    </row>
    <row r="10" spans="1:9">
      <c r="A10" s="23" t="s">
        <v>256</v>
      </c>
      <c r="B10" s="26" t="s">
        <v>241</v>
      </c>
      <c r="C10" s="59">
        <v>3</v>
      </c>
      <c r="D10" s="59">
        <v>4</v>
      </c>
      <c r="E10" s="59">
        <v>-1</v>
      </c>
      <c r="F10" s="69">
        <v>0.15</v>
      </c>
      <c r="G10" s="59" t="s">
        <v>248</v>
      </c>
      <c r="H10" s="59" t="s">
        <v>249</v>
      </c>
      <c r="I10" s="34">
        <v>18</v>
      </c>
    </row>
    <row r="11" spans="1:9">
      <c r="A11" s="23" t="s">
        <v>257</v>
      </c>
      <c r="B11" s="26" t="s">
        <v>241</v>
      </c>
      <c r="C11" s="59">
        <v>3</v>
      </c>
      <c r="D11" s="59">
        <v>5</v>
      </c>
      <c r="E11" s="59">
        <v>0</v>
      </c>
      <c r="F11" s="69">
        <v>0.15</v>
      </c>
      <c r="G11" s="59" t="s">
        <v>248</v>
      </c>
      <c r="H11" s="59" t="s">
        <v>249</v>
      </c>
      <c r="I11" s="34">
        <v>20</v>
      </c>
    </row>
    <row r="12" spans="1:9">
      <c r="A12" s="23" t="s">
        <v>258</v>
      </c>
      <c r="B12" s="26" t="s">
        <v>241</v>
      </c>
      <c r="C12" s="59">
        <v>3</v>
      </c>
      <c r="D12" s="59">
        <v>5</v>
      </c>
      <c r="E12" s="59">
        <v>-1</v>
      </c>
      <c r="F12" s="69">
        <v>0.15</v>
      </c>
      <c r="G12" s="59" t="s">
        <v>248</v>
      </c>
      <c r="H12" s="59" t="s">
        <v>249</v>
      </c>
      <c r="I12" s="34">
        <v>20</v>
      </c>
    </row>
    <row r="13" spans="1:9">
      <c r="A13" s="23" t="s">
        <v>259</v>
      </c>
      <c r="B13" s="26" t="s">
        <v>241</v>
      </c>
      <c r="C13" s="59">
        <v>3</v>
      </c>
      <c r="D13" s="59">
        <v>6</v>
      </c>
      <c r="E13" s="59">
        <v>-1</v>
      </c>
      <c r="F13" s="69">
        <v>0.1</v>
      </c>
      <c r="G13" s="59" t="s">
        <v>248</v>
      </c>
      <c r="H13" s="59" t="s">
        <v>249</v>
      </c>
      <c r="I13" s="34">
        <v>4</v>
      </c>
    </row>
    <row r="14" spans="1:9">
      <c r="A14" s="23" t="s">
        <v>260</v>
      </c>
      <c r="B14" s="26" t="s">
        <v>241</v>
      </c>
      <c r="C14" s="59">
        <v>3</v>
      </c>
      <c r="D14" s="59">
        <v>5</v>
      </c>
      <c r="E14" s="59">
        <v>-1</v>
      </c>
      <c r="F14" s="69">
        <v>0.15</v>
      </c>
      <c r="G14" s="59" t="s">
        <v>248</v>
      </c>
      <c r="H14" s="59" t="s">
        <v>249</v>
      </c>
      <c r="I14" s="34">
        <v>20</v>
      </c>
    </row>
    <row r="15" spans="1:9">
      <c r="A15" s="23" t="s">
        <v>261</v>
      </c>
      <c r="B15" s="26" t="s">
        <v>241</v>
      </c>
      <c r="C15" s="59">
        <v>3</v>
      </c>
      <c r="D15" s="59">
        <v>3</v>
      </c>
      <c r="E15" s="59">
        <v>-1</v>
      </c>
      <c r="F15" s="69">
        <v>0.15</v>
      </c>
      <c r="G15" s="59" t="s">
        <v>248</v>
      </c>
      <c r="H15" s="59" t="s">
        <v>249</v>
      </c>
      <c r="I15" s="34">
        <v>25</v>
      </c>
    </row>
    <row r="16" spans="1:9">
      <c r="A16" s="23" t="s">
        <v>262</v>
      </c>
      <c r="B16" s="26" t="s">
        <v>241</v>
      </c>
      <c r="C16" s="59">
        <v>4</v>
      </c>
      <c r="D16" s="59">
        <v>4</v>
      </c>
      <c r="E16" s="59">
        <v>-2</v>
      </c>
      <c r="F16" s="69">
        <v>0.2</v>
      </c>
      <c r="G16" s="59" t="s">
        <v>248</v>
      </c>
      <c r="H16" s="59" t="s">
        <v>249</v>
      </c>
      <c r="I16" s="34">
        <v>25</v>
      </c>
    </row>
    <row r="17" spans="1:9">
      <c r="A17" s="23" t="s">
        <v>265</v>
      </c>
      <c r="B17" s="26" t="s">
        <v>242</v>
      </c>
      <c r="C17" s="59">
        <v>4</v>
      </c>
      <c r="D17" s="59">
        <v>3</v>
      </c>
      <c r="E17" s="59">
        <v>-2</v>
      </c>
      <c r="F17" s="69">
        <v>0.2</v>
      </c>
      <c r="G17" s="59" t="s">
        <v>249</v>
      </c>
      <c r="H17" s="59" t="s">
        <v>266</v>
      </c>
      <c r="I17" s="34">
        <v>20</v>
      </c>
    </row>
    <row r="18" spans="1:9" ht="15.75" customHeight="1">
      <c r="A18" s="23" t="s">
        <v>267</v>
      </c>
      <c r="B18" s="26" t="s">
        <v>242</v>
      </c>
      <c r="C18" s="59">
        <v>4</v>
      </c>
      <c r="D18" s="59">
        <v>5</v>
      </c>
      <c r="E18" s="59">
        <v>-2</v>
      </c>
      <c r="F18" s="69">
        <v>0.3</v>
      </c>
      <c r="G18" s="59" t="s">
        <v>249</v>
      </c>
      <c r="H18" s="59" t="s">
        <v>266</v>
      </c>
      <c r="I18" s="34">
        <v>40</v>
      </c>
    </row>
    <row r="19" spans="1:9">
      <c r="A19" s="23" t="s">
        <v>268</v>
      </c>
      <c r="B19" s="26" t="s">
        <v>242</v>
      </c>
      <c r="C19" s="59">
        <v>4</v>
      </c>
      <c r="D19" s="59">
        <v>4</v>
      </c>
      <c r="E19" s="59">
        <v>-3</v>
      </c>
      <c r="F19" s="69">
        <v>0.2</v>
      </c>
      <c r="G19" s="59" t="s">
        <v>249</v>
      </c>
      <c r="H19" s="59" t="s">
        <v>266</v>
      </c>
      <c r="I19" s="34">
        <v>25</v>
      </c>
    </row>
    <row r="20" spans="1:9">
      <c r="A20" s="23" t="s">
        <v>269</v>
      </c>
      <c r="B20" s="26" t="s">
        <v>242</v>
      </c>
      <c r="C20" s="59">
        <v>4</v>
      </c>
      <c r="D20" s="59">
        <v>3</v>
      </c>
      <c r="E20" s="59">
        <v>-2</v>
      </c>
      <c r="F20" s="69">
        <v>0.2</v>
      </c>
      <c r="G20" s="59" t="s">
        <v>249</v>
      </c>
      <c r="H20" s="59" t="s">
        <v>266</v>
      </c>
      <c r="I20" s="34">
        <v>24</v>
      </c>
    </row>
    <row r="21" spans="1:9">
      <c r="A21" s="23" t="s">
        <v>270</v>
      </c>
      <c r="B21" s="26" t="s">
        <v>242</v>
      </c>
      <c r="C21" s="59">
        <v>5</v>
      </c>
      <c r="D21" s="59">
        <v>3</v>
      </c>
      <c r="E21" s="59">
        <v>-4</v>
      </c>
      <c r="F21" s="69">
        <v>0.25</v>
      </c>
      <c r="G21" s="59" t="s">
        <v>249</v>
      </c>
      <c r="H21" s="59" t="s">
        <v>266</v>
      </c>
      <c r="I21" s="34">
        <v>30</v>
      </c>
    </row>
    <row r="22" spans="1:9">
      <c r="A22" s="23" t="s">
        <v>271</v>
      </c>
      <c r="B22" s="26" t="s">
        <v>242</v>
      </c>
      <c r="C22" s="59">
        <v>6</v>
      </c>
      <c r="D22" s="59">
        <v>3</v>
      </c>
      <c r="E22" s="59">
        <v>-4</v>
      </c>
      <c r="F22" s="69">
        <v>0.25</v>
      </c>
      <c r="G22" s="59" t="s">
        <v>249</v>
      </c>
      <c r="H22" s="59" t="s">
        <v>266</v>
      </c>
      <c r="I22" s="34">
        <v>30</v>
      </c>
    </row>
    <row r="23" spans="1:9">
      <c r="A23" s="23" t="s">
        <v>272</v>
      </c>
      <c r="B23" s="26" t="s">
        <v>242</v>
      </c>
      <c r="C23" s="59">
        <v>6</v>
      </c>
      <c r="D23" s="59">
        <v>3</v>
      </c>
      <c r="E23" s="59">
        <v>-4</v>
      </c>
      <c r="F23" s="69">
        <v>0.25</v>
      </c>
      <c r="G23" s="59" t="s">
        <v>249</v>
      </c>
      <c r="H23" s="59" t="s">
        <v>266</v>
      </c>
      <c r="I23" s="34">
        <v>25</v>
      </c>
    </row>
    <row r="24" spans="1:9">
      <c r="A24" s="23" t="s">
        <v>273</v>
      </c>
      <c r="B24" s="26" t="s">
        <v>242</v>
      </c>
      <c r="C24" s="59">
        <v>6</v>
      </c>
      <c r="D24" s="59">
        <v>2</v>
      </c>
      <c r="E24" s="59">
        <v>-5</v>
      </c>
      <c r="F24" s="69">
        <v>0.3</v>
      </c>
      <c r="G24" s="59" t="s">
        <v>249</v>
      </c>
      <c r="H24" s="59" t="s">
        <v>266</v>
      </c>
      <c r="I24" s="34">
        <v>40</v>
      </c>
    </row>
    <row r="25" spans="1:9">
      <c r="A25" s="23" t="s">
        <v>274</v>
      </c>
      <c r="B25" s="26" t="s">
        <v>240</v>
      </c>
      <c r="C25" s="59">
        <v>7</v>
      </c>
      <c r="D25" s="59">
        <v>1</v>
      </c>
      <c r="E25" s="59">
        <v>-6</v>
      </c>
      <c r="F25" s="69">
        <v>0.35</v>
      </c>
      <c r="G25" s="59" t="s">
        <v>249</v>
      </c>
      <c r="H25" s="59" t="s">
        <v>266</v>
      </c>
      <c r="I25" s="34">
        <v>35</v>
      </c>
    </row>
    <row r="26" spans="1:9">
      <c r="A26" s="23" t="s">
        <v>275</v>
      </c>
      <c r="B26" s="26" t="s">
        <v>240</v>
      </c>
      <c r="C26" s="59">
        <v>7</v>
      </c>
      <c r="D26" s="59">
        <v>1</v>
      </c>
      <c r="E26" s="59">
        <v>-5</v>
      </c>
      <c r="F26" s="69">
        <v>0.35</v>
      </c>
      <c r="G26" s="59" t="s">
        <v>249</v>
      </c>
      <c r="H26" s="59" t="s">
        <v>266</v>
      </c>
      <c r="I26" s="34">
        <v>50</v>
      </c>
    </row>
    <row r="27" spans="1:9">
      <c r="A27" s="23" t="s">
        <v>276</v>
      </c>
      <c r="B27" s="26" t="s">
        <v>240</v>
      </c>
      <c r="C27" s="59">
        <v>7</v>
      </c>
      <c r="D27" s="59">
        <v>0</v>
      </c>
      <c r="E27" s="59">
        <v>-7</v>
      </c>
      <c r="F27" s="69">
        <v>0.4</v>
      </c>
      <c r="G27" s="59" t="s">
        <v>249</v>
      </c>
      <c r="H27" s="59" t="s">
        <v>266</v>
      </c>
      <c r="I27" s="34">
        <v>45</v>
      </c>
    </row>
    <row r="28" spans="1:9">
      <c r="A28" s="23" t="s">
        <v>277</v>
      </c>
      <c r="B28" s="26" t="s">
        <v>240</v>
      </c>
      <c r="C28" s="59">
        <v>8</v>
      </c>
      <c r="D28" s="59">
        <v>0</v>
      </c>
      <c r="E28" s="59">
        <v>-7</v>
      </c>
      <c r="F28" s="69">
        <v>0.4</v>
      </c>
      <c r="G28" s="59" t="s">
        <v>249</v>
      </c>
      <c r="H28" s="59" t="s">
        <v>266</v>
      </c>
      <c r="I28" s="34">
        <v>75</v>
      </c>
    </row>
    <row r="29" spans="1:9">
      <c r="A29" s="23" t="s">
        <v>278</v>
      </c>
      <c r="B29" s="26" t="s">
        <v>240</v>
      </c>
      <c r="C29" s="59">
        <v>8</v>
      </c>
      <c r="D29" s="59">
        <v>0</v>
      </c>
      <c r="E29" s="59">
        <v>-7</v>
      </c>
      <c r="F29" s="69">
        <v>0.4</v>
      </c>
      <c r="G29" s="59" t="s">
        <v>249</v>
      </c>
      <c r="H29" s="59" t="s">
        <v>266</v>
      </c>
      <c r="I29" s="34">
        <v>50</v>
      </c>
    </row>
    <row r="30" spans="1:9">
      <c r="A30" s="23" t="s">
        <v>279</v>
      </c>
      <c r="B30" s="26" t="s">
        <v>240</v>
      </c>
      <c r="C30" s="59">
        <v>8</v>
      </c>
      <c r="D30" s="59">
        <v>0</v>
      </c>
      <c r="E30" s="59">
        <v>-7</v>
      </c>
      <c r="F30" s="69">
        <v>0.4</v>
      </c>
      <c r="G30" s="59" t="s">
        <v>249</v>
      </c>
      <c r="H30" s="59" t="s">
        <v>266</v>
      </c>
      <c r="I30" s="34">
        <v>55</v>
      </c>
    </row>
    <row r="31" spans="1:9">
      <c r="A31" s="23" t="s">
        <v>280</v>
      </c>
      <c r="B31" s="26" t="s">
        <v>240</v>
      </c>
      <c r="C31" s="59">
        <v>9</v>
      </c>
      <c r="D31" s="59">
        <v>1</v>
      </c>
      <c r="E31" s="59">
        <v>-6</v>
      </c>
      <c r="F31" s="69">
        <v>0.35</v>
      </c>
      <c r="G31" s="59" t="s">
        <v>249</v>
      </c>
      <c r="H31" s="59" t="s">
        <v>266</v>
      </c>
      <c r="I31" s="34">
        <v>50</v>
      </c>
    </row>
    <row r="32" spans="1:9">
      <c r="A32" s="23" t="s">
        <v>281</v>
      </c>
      <c r="B32" s="26" t="s">
        <v>240</v>
      </c>
      <c r="C32" s="59">
        <v>9</v>
      </c>
      <c r="D32" s="59">
        <v>1</v>
      </c>
      <c r="E32" s="59">
        <v>-5</v>
      </c>
      <c r="F32" s="69">
        <v>0.35</v>
      </c>
      <c r="G32" s="59" t="s">
        <v>249</v>
      </c>
      <c r="H32" s="59" t="s">
        <v>266</v>
      </c>
      <c r="I32" s="34">
        <v>50</v>
      </c>
    </row>
    <row r="33" spans="1:9">
      <c r="A33" s="23" t="s">
        <v>282</v>
      </c>
      <c r="B33" s="26" t="s">
        <v>240</v>
      </c>
      <c r="C33" s="59">
        <v>9</v>
      </c>
      <c r="D33" s="59">
        <v>1</v>
      </c>
      <c r="E33" s="59">
        <v>-6</v>
      </c>
      <c r="F33" s="69">
        <v>0.35</v>
      </c>
      <c r="G33" s="59" t="s">
        <v>266</v>
      </c>
      <c r="H33" s="59" t="s">
        <v>283</v>
      </c>
      <c r="I33" s="34">
        <v>75</v>
      </c>
    </row>
    <row r="34" spans="1:9">
      <c r="A34" s="23" t="s">
        <v>284</v>
      </c>
      <c r="B34" s="26" t="s">
        <v>30</v>
      </c>
      <c r="C34" s="59">
        <v>1</v>
      </c>
      <c r="D34" s="59" t="s">
        <v>250</v>
      </c>
      <c r="E34" s="59">
        <v>-1</v>
      </c>
      <c r="F34" s="69">
        <v>0.05</v>
      </c>
      <c r="G34" s="59" t="s">
        <v>250</v>
      </c>
      <c r="H34" s="59" t="s">
        <v>250</v>
      </c>
      <c r="I34" s="34">
        <v>5</v>
      </c>
    </row>
    <row r="35" spans="1:9">
      <c r="A35" s="23" t="s">
        <v>285</v>
      </c>
      <c r="B35" s="26" t="s">
        <v>30</v>
      </c>
      <c r="C35" s="59">
        <v>1</v>
      </c>
      <c r="D35" s="59" t="s">
        <v>250</v>
      </c>
      <c r="E35" s="59">
        <v>-1</v>
      </c>
      <c r="F35" s="69">
        <v>0.05</v>
      </c>
      <c r="G35" s="59" t="s">
        <v>250</v>
      </c>
      <c r="H35" s="59" t="s">
        <v>250</v>
      </c>
      <c r="I35" s="34">
        <v>6</v>
      </c>
    </row>
    <row r="36" spans="1:9">
      <c r="A36" s="23" t="s">
        <v>286</v>
      </c>
      <c r="B36" s="26" t="s">
        <v>30</v>
      </c>
      <c r="C36" s="59">
        <v>1</v>
      </c>
      <c r="D36" s="59" t="s">
        <v>250</v>
      </c>
      <c r="E36" s="59">
        <v>-2</v>
      </c>
      <c r="F36" s="69">
        <v>0.05</v>
      </c>
      <c r="G36" s="59" t="s">
        <v>250</v>
      </c>
      <c r="H36" s="59" t="s">
        <v>250</v>
      </c>
      <c r="I36" s="34">
        <v>5</v>
      </c>
    </row>
    <row r="37" spans="1:9">
      <c r="A37" s="23" t="s">
        <v>287</v>
      </c>
      <c r="B37" s="26" t="s">
        <v>30</v>
      </c>
      <c r="C37" s="59">
        <v>1</v>
      </c>
      <c r="D37" s="59" t="s">
        <v>250</v>
      </c>
      <c r="E37" s="59">
        <v>-2</v>
      </c>
      <c r="F37" s="69">
        <v>0.05</v>
      </c>
      <c r="G37" s="59" t="s">
        <v>250</v>
      </c>
      <c r="H37" s="59" t="s">
        <v>250</v>
      </c>
      <c r="I37" s="34">
        <v>6</v>
      </c>
    </row>
    <row r="38" spans="1:9">
      <c r="A38" s="23" t="s">
        <v>288</v>
      </c>
      <c r="B38" s="26" t="s">
        <v>30</v>
      </c>
      <c r="C38" s="59">
        <v>1</v>
      </c>
      <c r="D38" s="59" t="s">
        <v>250</v>
      </c>
      <c r="E38" s="59">
        <v>-1</v>
      </c>
      <c r="F38" s="69">
        <v>0.05</v>
      </c>
      <c r="G38" s="59" t="s">
        <v>250</v>
      </c>
      <c r="H38" s="59" t="s">
        <v>250</v>
      </c>
      <c r="I38" s="34">
        <v>6</v>
      </c>
    </row>
    <row r="39" spans="1:9">
      <c r="A39" s="23" t="s">
        <v>289</v>
      </c>
      <c r="B39" s="26" t="s">
        <v>30</v>
      </c>
      <c r="C39" s="59">
        <v>1</v>
      </c>
      <c r="D39" s="59" t="s">
        <v>250</v>
      </c>
      <c r="E39" s="59">
        <v>-2</v>
      </c>
      <c r="F39" s="69">
        <v>0.05</v>
      </c>
      <c r="G39" s="59" t="s">
        <v>250</v>
      </c>
      <c r="H39" s="59" t="s">
        <v>250</v>
      </c>
      <c r="I39" s="34">
        <v>7</v>
      </c>
    </row>
    <row r="40" spans="1:9">
      <c r="A40" s="23" t="s">
        <v>290</v>
      </c>
      <c r="B40" s="26" t="s">
        <v>30</v>
      </c>
      <c r="C40" s="59">
        <v>1</v>
      </c>
      <c r="D40" s="59" t="s">
        <v>250</v>
      </c>
      <c r="E40" s="59">
        <v>-1</v>
      </c>
      <c r="F40" s="69">
        <v>0.05</v>
      </c>
      <c r="G40" s="59" t="s">
        <v>250</v>
      </c>
      <c r="H40" s="59" t="s">
        <v>250</v>
      </c>
      <c r="I40" s="34">
        <v>5</v>
      </c>
    </row>
    <row r="41" spans="1:9">
      <c r="A41" s="23" t="s">
        <v>291</v>
      </c>
      <c r="B41" s="26" t="s">
        <v>30</v>
      </c>
      <c r="C41" s="59">
        <v>1</v>
      </c>
      <c r="D41" s="59" t="s">
        <v>250</v>
      </c>
      <c r="E41" s="59">
        <v>-2</v>
      </c>
      <c r="F41" s="69">
        <v>0.05</v>
      </c>
      <c r="G41" s="59" t="s">
        <v>250</v>
      </c>
      <c r="H41" s="59" t="s">
        <v>250</v>
      </c>
      <c r="I41" s="34">
        <v>6</v>
      </c>
    </row>
    <row r="42" spans="1:9">
      <c r="A42" s="23" t="s">
        <v>292</v>
      </c>
      <c r="B42" s="26" t="s">
        <v>30</v>
      </c>
      <c r="C42" s="59">
        <v>2</v>
      </c>
      <c r="D42" s="59" t="s">
        <v>250</v>
      </c>
      <c r="E42" s="59">
        <v>-2</v>
      </c>
      <c r="F42" s="69">
        <v>0.15</v>
      </c>
      <c r="G42" s="59" t="s">
        <v>250</v>
      </c>
      <c r="H42" s="59" t="s">
        <v>250</v>
      </c>
      <c r="I42" s="34">
        <v>15</v>
      </c>
    </row>
    <row r="43" spans="1:9">
      <c r="A43" s="23" t="s">
        <v>293</v>
      </c>
      <c r="B43" s="26" t="s">
        <v>30</v>
      </c>
      <c r="C43" s="59">
        <v>2</v>
      </c>
      <c r="D43" s="59" t="s">
        <v>250</v>
      </c>
      <c r="E43" s="59">
        <v>-2</v>
      </c>
      <c r="F43" s="69">
        <v>0.15</v>
      </c>
      <c r="G43" s="59" t="s">
        <v>250</v>
      </c>
      <c r="H43" s="59" t="s">
        <v>250</v>
      </c>
      <c r="I43" s="34">
        <v>10</v>
      </c>
    </row>
    <row r="44" spans="1:9">
      <c r="A44" s="23" t="s">
        <v>294</v>
      </c>
      <c r="B44" s="26" t="s">
        <v>30</v>
      </c>
      <c r="C44" s="59">
        <v>4</v>
      </c>
      <c r="D44" s="59">
        <v>2</v>
      </c>
      <c r="E44" s="59">
        <v>-10</v>
      </c>
      <c r="F44" s="69">
        <v>0.5</v>
      </c>
      <c r="G44" s="59" t="s">
        <v>250</v>
      </c>
      <c r="H44" s="59" t="s">
        <v>250</v>
      </c>
      <c r="I44" s="34">
        <v>45</v>
      </c>
    </row>
    <row r="45" spans="1:9">
      <c r="A45" s="23" t="s">
        <v>295</v>
      </c>
      <c r="B45" s="26" t="s">
        <v>30</v>
      </c>
      <c r="C45" s="59">
        <v>2</v>
      </c>
      <c r="D45" s="59" t="s">
        <v>250</v>
      </c>
      <c r="E45" s="59">
        <v>-3</v>
      </c>
      <c r="F45" s="69">
        <v>0.15</v>
      </c>
      <c r="G45" s="59" t="s">
        <v>250</v>
      </c>
      <c r="H45" s="59" t="s">
        <v>250</v>
      </c>
      <c r="I45" s="34">
        <v>20</v>
      </c>
    </row>
    <row r="46" spans="1:9">
      <c r="A46" s="23" t="s">
        <v>296</v>
      </c>
      <c r="B46" s="26" t="s">
        <v>30</v>
      </c>
      <c r="C46" s="59">
        <v>2</v>
      </c>
      <c r="D46" s="59" t="s">
        <v>250</v>
      </c>
      <c r="E46" s="59">
        <v>-3</v>
      </c>
      <c r="F46" s="69">
        <v>0.15</v>
      </c>
      <c r="G46" s="59" t="s">
        <v>250</v>
      </c>
      <c r="H46" s="59" t="s">
        <v>250</v>
      </c>
      <c r="I46" s="34">
        <v>15</v>
      </c>
    </row>
    <row r="47" spans="1:9">
      <c r="A47" s="24" t="s">
        <v>297</v>
      </c>
      <c r="B47" s="28" t="s">
        <v>30</v>
      </c>
      <c r="C47" s="61">
        <v>1</v>
      </c>
      <c r="D47" s="61" t="s">
        <v>250</v>
      </c>
      <c r="E47" s="61">
        <v>-1</v>
      </c>
      <c r="F47" s="70">
        <v>0.2</v>
      </c>
      <c r="G47" s="61" t="s">
        <v>250</v>
      </c>
      <c r="H47" s="61" t="s">
        <v>250</v>
      </c>
      <c r="I47" s="35">
        <v>8</v>
      </c>
    </row>
  </sheetData>
  <mergeCells count="8">
    <mergeCell ref="G1:H1"/>
    <mergeCell ref="I1:I2"/>
    <mergeCell ref="B1:B2"/>
    <mergeCell ref="A1:A2"/>
    <mergeCell ref="F1:F2"/>
    <mergeCell ref="E1:E2"/>
    <mergeCell ref="D1:D2"/>
    <mergeCell ref="C1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</vt:lpstr>
      <vt:lpstr>Gear</vt:lpstr>
      <vt:lpstr>Feats&amp;Traits</vt:lpstr>
      <vt:lpstr>Growth</vt:lpstr>
      <vt:lpstr>Fibonacci89</vt:lpstr>
      <vt:lpstr>AC</vt:lpstr>
      <vt:lpstr>ClassSkills</vt:lpstr>
      <vt:lpstr>SkillNames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Metonymia Equinox</dc:creator>
  <cp:lastModifiedBy>Ulyssesmoore</cp:lastModifiedBy>
  <cp:lastPrinted>2018-05-04T17:09:40Z</cp:lastPrinted>
  <dcterms:created xsi:type="dcterms:W3CDTF">2018-05-03T21:19:16Z</dcterms:created>
  <dcterms:modified xsi:type="dcterms:W3CDTF">2018-06-26T15:30:17Z</dcterms:modified>
</cp:coreProperties>
</file>